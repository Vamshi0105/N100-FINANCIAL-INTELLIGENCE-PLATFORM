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'Automobiles'!$A$3:$V$10</definedName>
    <definedName name="_xlnm._FilterDatabase" localSheetId="1" hidden="1">'Consumer Finance'!$A$3:$V$6</definedName>
    <definedName name="_xlnm._FilterDatabase" localSheetId="2" hidden="1">'FMCG'!$A$3:$V$10</definedName>
    <definedName name="_xlnm._FilterDatabase" localSheetId="3" hidden="1">'IT Services'!$A$3:$V$8</definedName>
    <definedName name="_xlnm._FilterDatabase" localSheetId="4" hidden="1">'Life Insurance'!$A$3:$V$7</definedName>
    <definedName name="_xlnm._FilterDatabase" localSheetId="5" hidden="1">'Oil &amp; Gas'!$A$3:$V$8</definedName>
    <definedName name="_xlnm._FilterDatabase" localSheetId="6" hidden="1">'Pharmaceuticals'!$A$3:$V$8</definedName>
    <definedName name="_xlnm._FilterDatabase" localSheetId="7" hidden="1">'Power &amp; Utilities'!$A$3:$V$10</definedName>
    <definedName name="_xlnm._FilterDatabase" localSheetId="8" hidden="1">'Private Banks'!$A$3:$V$8</definedName>
    <definedName name="_xlnm._FilterDatabase" localSheetId="9" hidden="1">'Public Sector Banks'!$A$3:$V$7</definedName>
    <definedName name="_xlnm._FilterDatabase" localSheetId="10" hidden="1">'Steel'!$A$3:$V$7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2" fontId="3" fillId="3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3" fillId="7" borderId="0" pivotButton="0" quotePrefix="0" xfId="0"/>
    <xf numFmtId="2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Automobiles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MARUTI</t>
        </is>
      </c>
      <c r="B4" s="3" t="inlineStr">
        <is>
          <t>Maruti Suzuki India Ltd</t>
        </is>
      </c>
      <c r="C4" s="4" t="n">
        <v>15.75038535195478</v>
      </c>
      <c r="D4" s="5" t="n">
        <v>0</v>
      </c>
      <c r="E4" s="4" t="n">
        <v>21.72001632557868</v>
      </c>
      <c r="F4" s="6" t="n">
        <v>0.3333333333333333</v>
      </c>
      <c r="G4" s="4" t="n">
        <v>9.50809964894472</v>
      </c>
      <c r="H4" s="6" t="n">
        <v>0.5</v>
      </c>
      <c r="I4" s="4" t="n">
        <v>0.001389602503619973</v>
      </c>
      <c r="J4" s="7" t="n">
        <v>1</v>
      </c>
      <c r="K4" s="4" t="n">
        <v>4936</v>
      </c>
      <c r="L4" s="6" t="n">
        <v>0.6666666666666666</v>
      </c>
      <c r="M4" s="4" t="n">
        <v>12.00718203930038</v>
      </c>
      <c r="N4" s="6" t="n">
        <v>0.4</v>
      </c>
      <c r="O4" s="4" t="n">
        <v>10.51021511264258</v>
      </c>
      <c r="P4" s="6" t="n">
        <v>0.6666666666666666</v>
      </c>
      <c r="Q4" s="4" t="n">
        <v>11.1392224868865</v>
      </c>
      <c r="R4" s="6" t="n">
        <v>0.4</v>
      </c>
      <c r="S4" s="4" t="n">
        <v>117.9072164948454</v>
      </c>
      <c r="T4" s="7" t="n">
        <v>0.8333333333333334</v>
      </c>
      <c r="U4" s="4" t="n">
        <v>1.230295566502463</v>
      </c>
      <c r="V4" s="7" t="n">
        <v>0.8333333333333334</v>
      </c>
    </row>
    <row r="5">
      <c r="A5" s="8" t="inlineStr">
        <is>
          <t>BAJAJ-AUTO</t>
        </is>
      </c>
      <c r="B5" s="8" t="inlineStr">
        <is>
          <t>Bajaj Auto Ltd</t>
        </is>
      </c>
      <c r="C5" s="9" t="n">
        <v>26.61418410330778</v>
      </c>
      <c r="D5" s="7" t="n">
        <v>0.8333333333333334</v>
      </c>
      <c r="E5" s="9" t="n">
        <v>28.38958346829047</v>
      </c>
      <c r="F5" s="6" t="n">
        <v>0.6666666666666666</v>
      </c>
      <c r="G5" s="9" t="n">
        <v>17.17851571205706</v>
      </c>
      <c r="H5" s="7" t="n">
        <v>0.8333333333333334</v>
      </c>
      <c r="I5" s="9" t="n">
        <v>0.06601754022512257</v>
      </c>
      <c r="J5" s="6" t="n">
        <v>0.5</v>
      </c>
      <c r="K5" s="9" t="n">
        <v>6486</v>
      </c>
      <c r="L5" s="7" t="n">
        <v>0.8333333333333334</v>
      </c>
      <c r="M5" s="9" t="n">
        <v>9.358917170384974</v>
      </c>
      <c r="N5" s="5" t="n">
        <v>0.2</v>
      </c>
      <c r="O5" s="9" t="n">
        <v>8.127604751021389</v>
      </c>
      <c r="P5" s="6" t="n">
        <v>0.5</v>
      </c>
      <c r="Q5" s="9" t="n">
        <v>10.17727634846559</v>
      </c>
      <c r="R5" s="5" t="n">
        <v>0.2</v>
      </c>
      <c r="S5" s="9" t="n">
        <v>174.4166666666667</v>
      </c>
      <c r="T5" s="7" t="n">
        <v>1</v>
      </c>
      <c r="U5" s="9" t="n">
        <v>1.140453436356242</v>
      </c>
      <c r="V5" s="6" t="n">
        <v>0.5</v>
      </c>
    </row>
    <row r="6">
      <c r="A6" s="8" t="inlineStr">
        <is>
          <t>EICHERMOT</t>
        </is>
      </c>
      <c r="B6" s="8" t="inlineStr">
        <is>
          <t>Eicher Motors Ltd</t>
        </is>
      </c>
      <c r="C6" s="9" t="n">
        <v>22.17234691050152</v>
      </c>
      <c r="D6" s="6" t="n">
        <v>0.5</v>
      </c>
      <c r="E6" s="9" t="n">
        <v>23.44562391681109</v>
      </c>
      <c r="F6" s="6" t="n">
        <v>0.5</v>
      </c>
      <c r="G6" s="9" t="n">
        <v>24.19569424286405</v>
      </c>
      <c r="H6" s="7" t="n">
        <v>1</v>
      </c>
      <c r="I6" s="9" t="n">
        <v>0.02321972845663619</v>
      </c>
      <c r="J6" s="7" t="n">
        <v>0.8333333333333334</v>
      </c>
      <c r="K6" s="9" t="n">
        <v>890</v>
      </c>
      <c r="L6" s="6" t="n">
        <v>0.3333333333333333</v>
      </c>
      <c r="M6" s="9" t="n">
        <v>12.6758416653777</v>
      </c>
      <c r="N6" s="6" t="n">
        <v>0.6</v>
      </c>
      <c r="O6" s="9" t="n">
        <v>11.03693649673969</v>
      </c>
      <c r="P6" s="7" t="n">
        <v>0.8333333333333334</v>
      </c>
      <c r="Q6" s="9" t="n">
        <v>12.50545162905032</v>
      </c>
      <c r="R6" s="6" t="n">
        <v>0.6</v>
      </c>
      <c r="S6" s="9" t="n">
        <v>114.7058823529412</v>
      </c>
      <c r="T6" s="6" t="n">
        <v>0.6666666666666666</v>
      </c>
      <c r="U6" s="9" t="n">
        <v>0.7153796236210254</v>
      </c>
      <c r="V6" s="5" t="n">
        <v>0.1666666666666667</v>
      </c>
    </row>
    <row r="7">
      <c r="A7" s="8" t="inlineStr">
        <is>
          <t>HEROMOTOCO</t>
        </is>
      </c>
      <c r="B7" s="8" t="inlineStr">
        <is>
          <t xml:space="preserve">Hero MotoCorp Ltd
</t>
        </is>
      </c>
      <c r="C7" s="9" t="n">
        <v>21.14243742584327</v>
      </c>
      <c r="D7" s="6" t="n">
        <v>0.3333333333333333</v>
      </c>
      <c r="E7" s="9" t="n">
        <v>177.8421196394428</v>
      </c>
      <c r="F7" s="7" t="n">
        <v>1</v>
      </c>
      <c r="G7" s="9" t="n">
        <v>9.902352536452407</v>
      </c>
      <c r="H7" s="6" t="n">
        <v>0.6666666666666666</v>
      </c>
      <c r="I7" s="9" t="n">
        <v>0.03423922255494661</v>
      </c>
      <c r="J7" s="6" t="n">
        <v>0.6666666666666667</v>
      </c>
      <c r="K7" s="9" t="n">
        <v>3095</v>
      </c>
      <c r="L7" s="6" t="n">
        <v>0.5</v>
      </c>
      <c r="M7" s="9" t="n">
        <v>1.544181887188389</v>
      </c>
      <c r="N7" s="5" t="n">
        <v>0</v>
      </c>
      <c r="O7" s="9" t="n">
        <v>2.153067797054464</v>
      </c>
      <c r="P7" s="5" t="n">
        <v>0</v>
      </c>
      <c r="Q7" s="9" t="n">
        <v>1.686343719746475</v>
      </c>
      <c r="R7" s="5" t="n">
        <v>0</v>
      </c>
      <c r="S7" s="9" t="n">
        <v>47.26850507982584</v>
      </c>
      <c r="T7" s="6" t="n">
        <v>0.5</v>
      </c>
      <c r="U7" s="9" t="n">
        <v>1.444920276832486</v>
      </c>
      <c r="V7" s="7" t="n">
        <v>1</v>
      </c>
    </row>
    <row r="8">
      <c r="A8" s="8" t="inlineStr">
        <is>
          <t>M&amp;M</t>
        </is>
      </c>
      <c r="B8" s="8" t="inlineStr">
        <is>
          <t xml:space="preserve">Mahindra &amp; Mahindra Ltd
</t>
        </is>
      </c>
      <c r="C8" s="9" t="n">
        <v>18.53754343556428</v>
      </c>
      <c r="D8" s="5" t="n">
        <v>0.1666666666666667</v>
      </c>
      <c r="E8" s="9" t="n">
        <v>14.23726099166652</v>
      </c>
      <c r="F8" s="5" t="n">
        <v>0</v>
      </c>
      <c r="G8" s="9" t="n">
        <v>8.822387437265419</v>
      </c>
      <c r="H8" s="6" t="n">
        <v>0.3333333333333333</v>
      </c>
      <c r="I8" s="9" t="n">
        <v>1.641441305333132</v>
      </c>
      <c r="J8" s="5" t="n">
        <v>0.1666666666666666</v>
      </c>
      <c r="K8" s="9" t="n">
        <v>-11245</v>
      </c>
      <c r="L8" s="5" t="n">
        <v>0</v>
      </c>
      <c r="M8" s="9" t="n">
        <v>15.31688706104797</v>
      </c>
      <c r="N8" s="7" t="n">
        <v>0.8</v>
      </c>
      <c r="O8" s="9" t="n">
        <v>5.838805854237616</v>
      </c>
      <c r="P8" s="5" t="n">
        <v>0.1666666666666667</v>
      </c>
      <c r="Q8" s="9" t="n">
        <v>16.17550991430385</v>
      </c>
      <c r="R8" s="7" t="n">
        <v>0.8</v>
      </c>
      <c r="S8" s="9" t="n">
        <v>3.764690170940171</v>
      </c>
      <c r="T8" s="5" t="n">
        <v>0.1666666666666667</v>
      </c>
      <c r="U8" s="9" t="n">
        <v>0.5925222177725139</v>
      </c>
      <c r="V8" s="5" t="n">
        <v>0</v>
      </c>
    </row>
    <row r="9">
      <c r="A9" s="8" t="inlineStr">
        <is>
          <t>TATAMOTORS</t>
        </is>
      </c>
      <c r="B9" s="8" t="inlineStr">
        <is>
          <t>Tata Motors Ltd</t>
        </is>
      </c>
      <c r="C9" s="9" t="n">
        <v>37.45613415294755</v>
      </c>
      <c r="D9" s="7" t="n">
        <v>1</v>
      </c>
      <c r="E9" s="9" t="n">
        <v>30.98033093974399</v>
      </c>
      <c r="F9" s="7" t="n">
        <v>0.8333333333333334</v>
      </c>
      <c r="G9" s="9" t="n">
        <v>7.263066074788551</v>
      </c>
      <c r="H9" s="5" t="n">
        <v>0.1666666666666667</v>
      </c>
      <c r="I9" s="9" t="n">
        <v>1.263124425916767</v>
      </c>
      <c r="J9" s="6" t="n">
        <v>0.3333333333333334</v>
      </c>
      <c r="K9" s="9" t="n">
        <v>45133</v>
      </c>
      <c r="L9" s="7" t="n">
        <v>1</v>
      </c>
      <c r="M9" s="9" t="n"/>
      <c r="N9" s="8" t="n"/>
      <c r="O9" s="9" t="n">
        <v>7.720159538623927</v>
      </c>
      <c r="P9" s="6" t="n">
        <v>0.3333333333333333</v>
      </c>
      <c r="Q9" s="9" t="n"/>
      <c r="R9" s="8" t="n"/>
      <c r="S9" s="9" t="n">
        <v>6.530242339274985</v>
      </c>
      <c r="T9" s="6" t="n">
        <v>0.3333333333333333</v>
      </c>
      <c r="U9" s="9" t="n">
        <v>1.185123443593192</v>
      </c>
      <c r="V9" s="6" t="n">
        <v>0.6666666666666666</v>
      </c>
    </row>
    <row r="10">
      <c r="A10" s="8" t="inlineStr">
        <is>
          <t>TVSMOTOR</t>
        </is>
      </c>
      <c r="B10" s="8" t="inlineStr">
        <is>
          <t>TVS Motor Company Ltd</t>
        </is>
      </c>
      <c r="C10" s="9" t="n">
        <v>26.22346698113208</v>
      </c>
      <c r="D10" s="6" t="n">
        <v>0.6666666666666666</v>
      </c>
      <c r="E10" s="9" t="n">
        <v>16.77340652637999</v>
      </c>
      <c r="F10" s="5" t="n">
        <v>0.1666666666666667</v>
      </c>
      <c r="G10" s="9" t="n">
        <v>4.544641716694342</v>
      </c>
      <c r="H10" s="5" t="n">
        <v>0</v>
      </c>
      <c r="I10" s="9" t="n">
        <v>3.833431603773585</v>
      </c>
      <c r="J10" s="5" t="n">
        <v>0</v>
      </c>
      <c r="K10" s="9" t="n">
        <v>-2254</v>
      </c>
      <c r="L10" s="5" t="n">
        <v>0.1666666666666667</v>
      </c>
      <c r="M10" s="9" t="n">
        <v>19.6651221066765</v>
      </c>
      <c r="N10" s="7" t="n">
        <v>1</v>
      </c>
      <c r="O10" s="9" t="n">
        <v>14.19238770427707</v>
      </c>
      <c r="P10" s="7" t="n">
        <v>1</v>
      </c>
      <c r="Q10" s="9" t="n">
        <v>19.13578981670916</v>
      </c>
      <c r="R10" s="7" t="n">
        <v>1</v>
      </c>
      <c r="S10" s="9" t="n">
        <v>2.907676348547718</v>
      </c>
      <c r="T10" s="5" t="n">
        <v>0</v>
      </c>
      <c r="U10" s="9" t="n">
        <v>0.9314915286502951</v>
      </c>
      <c r="V10" s="6" t="n">
        <v>0.3333333333333333</v>
      </c>
    </row>
    <row r="12">
      <c r="A12" s="10" t="inlineStr">
        <is>
          <t>Peer Group Median</t>
        </is>
      </c>
      <c r="B12" s="10" t="inlineStr"/>
      <c r="C12" s="11">
        <f>MEDIAN(C4:C10)</f>
        <v/>
      </c>
      <c r="D12" s="10" t="n"/>
      <c r="E12" s="11">
        <f>MEDIAN(E4:E10)</f>
        <v/>
      </c>
      <c r="F12" s="10" t="n"/>
      <c r="G12" s="11">
        <f>MEDIAN(G4:G10)</f>
        <v/>
      </c>
      <c r="H12" s="10" t="n"/>
      <c r="I12" s="11">
        <f>MEDIAN(I4:I10)</f>
        <v/>
      </c>
      <c r="J12" s="10" t="n"/>
      <c r="K12" s="11">
        <f>MEDIAN(K4:K10)</f>
        <v/>
      </c>
      <c r="L12" s="10" t="n"/>
      <c r="M12" s="11">
        <f>MEDIAN(M4:M10)</f>
        <v/>
      </c>
      <c r="N12" s="10" t="n"/>
      <c r="O12" s="11">
        <f>MEDIAN(O4:O10)</f>
        <v/>
      </c>
      <c r="P12" s="10" t="n"/>
      <c r="Q12" s="11">
        <f>MEDIAN(Q4:Q10)</f>
        <v/>
      </c>
      <c r="R12" s="10" t="n"/>
      <c r="S12" s="11">
        <f>MEDIAN(S4:S10)</f>
        <v/>
      </c>
      <c r="T12" s="10" t="n"/>
      <c r="U12" s="11">
        <f>MEDIAN(U4:U10)</f>
        <v/>
      </c>
      <c r="V12" s="10" t="n"/>
    </row>
  </sheetData>
  <autoFilter ref="A3:V10"/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Consumer Finance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BAJFINANCE</t>
        </is>
      </c>
      <c r="B4" s="3" t="inlineStr">
        <is>
          <t>Bajaj Finance Ltd</t>
        </is>
      </c>
      <c r="C4" s="4" t="n">
        <v>18.8419213518306</v>
      </c>
      <c r="D4" s="7" t="n">
        <v>1</v>
      </c>
      <c r="E4" s="4" t="n">
        <v>4.350587230638684</v>
      </c>
      <c r="F4" s="7" t="n">
        <v>1</v>
      </c>
      <c r="G4" s="4" t="n">
        <v>26.28792839991269</v>
      </c>
      <c r="H4" s="7" t="n">
        <v>1</v>
      </c>
      <c r="I4" s="4" t="n">
        <v>3.824788776468134</v>
      </c>
      <c r="J4" s="7" t="n">
        <v>1</v>
      </c>
      <c r="K4" s="4" t="n">
        <v>-79931</v>
      </c>
      <c r="L4" s="5" t="n">
        <v>0</v>
      </c>
      <c r="M4" s="4" t="n">
        <v>29.32313482597901</v>
      </c>
      <c r="N4" s="7" t="n">
        <v>1</v>
      </c>
      <c r="O4" s="4" t="n">
        <v>24.35264273954201</v>
      </c>
      <c r="P4" s="7" t="n">
        <v>1</v>
      </c>
      <c r="Q4" s="4" t="n">
        <v>27.5561392815338</v>
      </c>
      <c r="R4" s="7" t="n">
        <v>1</v>
      </c>
      <c r="S4" s="4" t="n">
        <v>2689.166666666667</v>
      </c>
      <c r="T4" s="7" t="n">
        <v>1</v>
      </c>
      <c r="U4" s="4" t="n">
        <v>0.1463025160881669</v>
      </c>
      <c r="V4" s="6" t="n">
        <v>0.5</v>
      </c>
    </row>
    <row r="5">
      <c r="A5" s="8" t="inlineStr">
        <is>
          <t>CHOLAFIN</t>
        </is>
      </c>
      <c r="B5" s="8" t="inlineStr">
        <is>
          <t>Cholamandalam Investment &amp; Finance Company Ltd</t>
        </is>
      </c>
      <c r="C5" s="9" t="n">
        <v>17.45521359669269</v>
      </c>
      <c r="D5" s="6" t="n">
        <v>0.5</v>
      </c>
      <c r="E5" s="9" t="n">
        <v>3.495209907313654</v>
      </c>
      <c r="F5" s="5" t="n">
        <v>0</v>
      </c>
      <c r="G5" s="9" t="n">
        <v>17.84689244899024</v>
      </c>
      <c r="H5" s="5" t="n">
        <v>0</v>
      </c>
      <c r="I5" s="9" t="n">
        <v>6.863420609401317</v>
      </c>
      <c r="J5" s="5" t="n">
        <v>0</v>
      </c>
      <c r="K5" s="9" t="n">
        <v>-38538</v>
      </c>
      <c r="L5" s="6" t="n">
        <v>0.5</v>
      </c>
      <c r="M5" s="9" t="n">
        <v>23.36341725167208</v>
      </c>
      <c r="N5" s="5" t="n">
        <v>0</v>
      </c>
      <c r="O5" s="9" t="n">
        <v>21.93916480497526</v>
      </c>
      <c r="P5" s="6" t="n">
        <v>0.5</v>
      </c>
      <c r="Q5" s="9" t="n">
        <v>22.27523876455795</v>
      </c>
      <c r="R5" s="6" t="n">
        <v>0.5</v>
      </c>
      <c r="S5" s="9" t="n">
        <v>21.21176470588235</v>
      </c>
      <c r="T5" s="6" t="n">
        <v>0.5</v>
      </c>
      <c r="U5" s="9" t="n">
        <v>0.1223019286981607</v>
      </c>
      <c r="V5" s="5" t="n">
        <v>0</v>
      </c>
    </row>
    <row r="6">
      <c r="A6" s="8" t="inlineStr">
        <is>
          <t>SHRIRAMFIN</t>
        </is>
      </c>
      <c r="B6" s="8" t="inlineStr">
        <is>
          <t xml:space="preserve">Shriram Finance Ltd
</t>
        </is>
      </c>
      <c r="C6" s="9" t="n">
        <v>15.11635033812082</v>
      </c>
      <c r="D6" s="5" t="n">
        <v>0</v>
      </c>
      <c r="E6" s="9" t="n">
        <v>4.304889074344531</v>
      </c>
      <c r="F6" s="6" t="n">
        <v>0.5</v>
      </c>
      <c r="G6" s="9" t="n">
        <v>20.33362647026492</v>
      </c>
      <c r="H6" s="6" t="n">
        <v>0.5</v>
      </c>
      <c r="I6" s="9" t="n">
        <v>3.994034363699512</v>
      </c>
      <c r="J6" s="6" t="n">
        <v>0.5</v>
      </c>
      <c r="K6" s="9" t="n">
        <v>-31359</v>
      </c>
      <c r="L6" s="7" t="n">
        <v>1</v>
      </c>
      <c r="M6" s="9" t="n">
        <v>23.49387942502037</v>
      </c>
      <c r="N6" s="6" t="n">
        <v>0.5</v>
      </c>
      <c r="O6" s="9" t="n">
        <v>18.55607005277675</v>
      </c>
      <c r="P6" s="5" t="n">
        <v>0</v>
      </c>
      <c r="Q6" s="9" t="n">
        <v>14.28965514115608</v>
      </c>
      <c r="R6" s="5" t="n">
        <v>0</v>
      </c>
      <c r="S6" s="9" t="n">
        <v>0.6766743648960739</v>
      </c>
      <c r="T6" s="5" t="n">
        <v>0</v>
      </c>
      <c r="U6" s="9" t="n">
        <v>0.1465685998082702</v>
      </c>
      <c r="V6" s="7" t="n">
        <v>1</v>
      </c>
    </row>
    <row r="8">
      <c r="A8" s="10" t="inlineStr">
        <is>
          <t>Peer Group Median</t>
        </is>
      </c>
      <c r="B8" s="10" t="inlineStr"/>
      <c r="C8" s="11">
        <f>MEDIAN(C4:C6)</f>
        <v/>
      </c>
      <c r="D8" s="10" t="n"/>
      <c r="E8" s="11">
        <f>MEDIAN(E4:E6)</f>
        <v/>
      </c>
      <c r="F8" s="10" t="n"/>
      <c r="G8" s="11">
        <f>MEDIAN(G4:G6)</f>
        <v/>
      </c>
      <c r="H8" s="10" t="n"/>
      <c r="I8" s="11">
        <f>MEDIAN(I4:I6)</f>
        <v/>
      </c>
      <c r="J8" s="10" t="n"/>
      <c r="K8" s="11">
        <f>MEDIAN(K4:K6)</f>
        <v/>
      </c>
      <c r="L8" s="10" t="n"/>
      <c r="M8" s="11">
        <f>MEDIAN(M4:M6)</f>
        <v/>
      </c>
      <c r="N8" s="10" t="n"/>
      <c r="O8" s="11">
        <f>MEDIAN(O4:O6)</f>
        <v/>
      </c>
      <c r="P8" s="10" t="n"/>
      <c r="Q8" s="11">
        <f>MEDIAN(Q4:Q6)</f>
        <v/>
      </c>
      <c r="R8" s="10" t="n"/>
      <c r="S8" s="11">
        <f>MEDIAN(S4:S6)</f>
        <v/>
      </c>
      <c r="T8" s="10" t="n"/>
      <c r="U8" s="11">
        <f>MEDIAN(U4:U6)</f>
        <v/>
      </c>
      <c r="V8" s="10" t="n"/>
    </row>
  </sheetData>
  <autoFilter ref="A3:V6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FMCG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HINDUNILVR</t>
        </is>
      </c>
      <c r="B4" s="3" t="inlineStr">
        <is>
          <t xml:space="preserve">Hindustan Unilever Ltd
</t>
        </is>
      </c>
      <c r="C4" s="4" t="n">
        <v>20.07497364207896</v>
      </c>
      <c r="D4" s="6" t="n">
        <v>0.5</v>
      </c>
      <c r="E4" s="4" t="n">
        <v>89.63037455884027</v>
      </c>
      <c r="F4" s="7" t="n">
        <v>0.8333333333333334</v>
      </c>
      <c r="G4" s="4" t="n">
        <v>16.61173581491534</v>
      </c>
      <c r="H4" s="7" t="n">
        <v>0.8333333333333334</v>
      </c>
      <c r="I4" s="4" t="n">
        <v>0.02897418876176344</v>
      </c>
      <c r="J4" s="7" t="n">
        <v>0.8333333333333334</v>
      </c>
      <c r="K4" s="4" t="n">
        <v>10145</v>
      </c>
      <c r="L4" s="7" t="n">
        <v>0.8333333333333334</v>
      </c>
      <c r="M4" s="4" t="n">
        <v>11.15295043680342</v>
      </c>
      <c r="N4" s="6" t="n">
        <v>0.4</v>
      </c>
      <c r="O4" s="4" t="n">
        <v>9.504485244074123</v>
      </c>
      <c r="P4" s="6" t="n">
        <v>0.6666666666666666</v>
      </c>
      <c r="Q4" s="4" t="n">
        <v>9.460878422315755</v>
      </c>
      <c r="R4" s="5" t="n">
        <v>0.2</v>
      </c>
      <c r="S4" s="4" t="n">
        <v>57.8470012239902</v>
      </c>
      <c r="T4" s="7" t="n">
        <v>0.8333333333333334</v>
      </c>
      <c r="U4" s="4" t="n">
        <v>0.7885945801322478</v>
      </c>
      <c r="V4" s="6" t="n">
        <v>0.5</v>
      </c>
    </row>
    <row r="5">
      <c r="A5" s="8" t="inlineStr">
        <is>
          <t>BRITANNIA</t>
        </is>
      </c>
      <c r="B5" s="8" t="inlineStr">
        <is>
          <t>Britannia Industries Ltd</t>
        </is>
      </c>
      <c r="C5" s="9" t="n">
        <v>54.14869322506978</v>
      </c>
      <c r="D5" s="7" t="n">
        <v>0.8333333333333334</v>
      </c>
      <c r="E5" s="9" t="n">
        <v>52.73060273060273</v>
      </c>
      <c r="F5" s="6" t="n">
        <v>0.6666666666666666</v>
      </c>
      <c r="G5" s="9" t="n">
        <v>12.72586319995229</v>
      </c>
      <c r="H5" s="6" t="n">
        <v>0.3333333333333333</v>
      </c>
      <c r="I5" s="9" t="n">
        <v>0.5239786856127886</v>
      </c>
      <c r="J5" s="5" t="n">
        <v>0</v>
      </c>
      <c r="K5" s="9" t="n">
        <v>3050</v>
      </c>
      <c r="L5" s="6" t="n">
        <v>0.6666666666666666</v>
      </c>
      <c r="M5" s="9" t="n">
        <v>13.0635158274542</v>
      </c>
      <c r="N5" s="6" t="n">
        <v>0.6</v>
      </c>
      <c r="O5" s="9" t="n">
        <v>8.690023727476138</v>
      </c>
      <c r="P5" s="6" t="n">
        <v>0.5</v>
      </c>
      <c r="Q5" s="9" t="n">
        <v>13.14353769849137</v>
      </c>
      <c r="R5" s="6" t="n">
        <v>0.6</v>
      </c>
      <c r="S5" s="9" t="n">
        <v>20.59756097560976</v>
      </c>
      <c r="T5" s="5" t="n">
        <v>0.1666666666666667</v>
      </c>
      <c r="U5" s="9" t="n">
        <v>1.848434744268078</v>
      </c>
      <c r="V5" s="7" t="n">
        <v>0.8333333333333334</v>
      </c>
    </row>
    <row r="6">
      <c r="A6" s="8" t="inlineStr">
        <is>
          <t>DABUR</t>
        </is>
      </c>
      <c r="B6" s="8" t="inlineStr">
        <is>
          <t>Dabur India Ltd</t>
        </is>
      </c>
      <c r="C6" s="9" t="n">
        <v>18.35596999797284</v>
      </c>
      <c r="D6" s="6" t="n">
        <v>0.3333333333333333</v>
      </c>
      <c r="E6" s="9" t="n">
        <v>21.36942391594693</v>
      </c>
      <c r="F6" s="6" t="n">
        <v>0.3333333333333333</v>
      </c>
      <c r="G6" s="9" t="n">
        <v>14.60012899064818</v>
      </c>
      <c r="H6" s="6" t="n">
        <v>0.5</v>
      </c>
      <c r="I6" s="9" t="n">
        <v>0.1383539428339753</v>
      </c>
      <c r="J6" s="6" t="n">
        <v>0.5</v>
      </c>
      <c r="K6" s="9" t="n">
        <v>1042</v>
      </c>
      <c r="L6" s="6" t="n">
        <v>0.3333333333333333</v>
      </c>
      <c r="M6" s="9" t="n">
        <v>4.604418961155621</v>
      </c>
      <c r="N6" s="5" t="n">
        <v>0</v>
      </c>
      <c r="O6" s="9" t="n">
        <v>7.814065037783324</v>
      </c>
      <c r="P6" s="5" t="n">
        <v>0.1666666666666667</v>
      </c>
      <c r="Q6" s="9" t="n">
        <v>4.563955259127317</v>
      </c>
      <c r="R6" s="5" t="n">
        <v>0</v>
      </c>
      <c r="S6" s="9" t="n">
        <v>23.24193548387097</v>
      </c>
      <c r="T6" s="6" t="n">
        <v>0.3333333333333333</v>
      </c>
      <c r="U6" s="9" t="n">
        <v>0.8205874569992061</v>
      </c>
      <c r="V6" s="6" t="n">
        <v>0.6666666666666666</v>
      </c>
    </row>
    <row r="7">
      <c r="A7" s="8" t="inlineStr">
        <is>
          <t>GODREJCP</t>
        </is>
      </c>
      <c r="B7" s="8" t="inlineStr">
        <is>
          <t>Godrej Consumer Products Ltd</t>
        </is>
      </c>
      <c r="C7" s="9" t="n">
        <v>-4.45308779171297</v>
      </c>
      <c r="D7" s="5" t="n">
        <v>0</v>
      </c>
      <c r="E7" s="9" t="n">
        <v>18.69152970922882</v>
      </c>
      <c r="F7" s="5" t="n">
        <v>0.1666666666666667</v>
      </c>
      <c r="G7" s="9" t="n">
        <v>-3.979852440408627</v>
      </c>
      <c r="H7" s="5" t="n">
        <v>0</v>
      </c>
      <c r="I7" s="9" t="n">
        <v>0.2557548817272583</v>
      </c>
      <c r="J7" s="5" t="n">
        <v>0.1666666666666666</v>
      </c>
      <c r="K7" s="9" t="n">
        <v>-1365</v>
      </c>
      <c r="L7" s="5" t="n">
        <v>0</v>
      </c>
      <c r="M7" s="9" t="n"/>
      <c r="N7" s="8" t="n"/>
      <c r="O7" s="9" t="n">
        <v>6.447080048592069</v>
      </c>
      <c r="P7" s="5" t="n">
        <v>0</v>
      </c>
      <c r="Q7" s="9" t="n"/>
      <c r="R7" s="8" t="n"/>
      <c r="S7" s="9" t="n">
        <v>2.412903225806452</v>
      </c>
      <c r="T7" s="5" t="n">
        <v>0</v>
      </c>
      <c r="U7" s="9" t="n">
        <v>0.7664201826881253</v>
      </c>
      <c r="V7" s="5" t="n">
        <v>0.1666666666666667</v>
      </c>
    </row>
    <row r="8">
      <c r="A8" s="8" t="inlineStr">
        <is>
          <t>ITC</t>
        </is>
      </c>
      <c r="B8" s="8" t="inlineStr">
        <is>
          <t xml:space="preserve">ITC Ltd
</t>
        </is>
      </c>
      <c r="C8" s="9" t="n">
        <v>27.85107439569436</v>
      </c>
      <c r="D8" s="6" t="n">
        <v>0.6666666666666666</v>
      </c>
      <c r="E8" s="9" t="n">
        <v>35.06616762464911</v>
      </c>
      <c r="F8" s="6" t="n">
        <v>0.5</v>
      </c>
      <c r="G8" s="9" t="n">
        <v>29.28202523071713</v>
      </c>
      <c r="H8" s="7" t="n">
        <v>1</v>
      </c>
      <c r="I8" s="9" t="n">
        <v>0.004066731984914169</v>
      </c>
      <c r="J8" s="7" t="n">
        <v>1</v>
      </c>
      <c r="K8" s="9" t="n">
        <v>18742</v>
      </c>
      <c r="L8" s="7" t="n">
        <v>1</v>
      </c>
      <c r="M8" s="9" t="n">
        <v>10.08340755831796</v>
      </c>
      <c r="N8" s="5" t="n">
        <v>0.2</v>
      </c>
      <c r="O8" s="9" t="n">
        <v>7.950896846254429</v>
      </c>
      <c r="P8" s="6" t="n">
        <v>0.3333333333333333</v>
      </c>
      <c r="Q8" s="9" t="n">
        <v>9.856054330611785</v>
      </c>
      <c r="R8" s="6" t="n">
        <v>0.4</v>
      </c>
      <c r="S8" s="9" t="n">
        <v>362.9625</v>
      </c>
      <c r="T8" s="7" t="n">
        <v>1</v>
      </c>
      <c r="U8" s="9" t="n">
        <v>0.7723477995509732</v>
      </c>
      <c r="V8" s="6" t="n">
        <v>0.3333333333333333</v>
      </c>
    </row>
    <row r="9">
      <c r="A9" s="8" t="inlineStr">
        <is>
          <t>NESTLEIND</t>
        </is>
      </c>
      <c r="B9" s="8" t="inlineStr">
        <is>
          <t>Nestle India Ltd</t>
        </is>
      </c>
      <c r="C9" s="9" t="n">
        <v>117.7544910179641</v>
      </c>
      <c r="D9" s="7" t="n">
        <v>1</v>
      </c>
      <c r="E9" s="9" t="n">
        <v>157.7476255088195</v>
      </c>
      <c r="F9" s="7" t="n">
        <v>1</v>
      </c>
      <c r="G9" s="9" t="n">
        <v>16.12281708616873</v>
      </c>
      <c r="H9" s="6" t="n">
        <v>0.6666666666666666</v>
      </c>
      <c r="I9" s="9" t="n">
        <v>0.1032934131736527</v>
      </c>
      <c r="J9" s="6" t="n">
        <v>0.6666666666666667</v>
      </c>
      <c r="K9" s="9" t="n">
        <v>2938</v>
      </c>
      <c r="L9" s="6" t="n">
        <v>0.5</v>
      </c>
      <c r="M9" s="9" t="n">
        <v>14.85231951299384</v>
      </c>
      <c r="N9" s="7" t="n">
        <v>0.8</v>
      </c>
      <c r="O9" s="9" t="n">
        <v>14.54857371180267</v>
      </c>
      <c r="P9" s="7" t="n">
        <v>0.8333333333333334</v>
      </c>
      <c r="Q9" s="9" t="n">
        <v>15.43852585822143</v>
      </c>
      <c r="R9" s="7" t="n">
        <v>1</v>
      </c>
      <c r="S9" s="9" t="n">
        <v>41.18620689655172</v>
      </c>
      <c r="T9" s="6" t="n">
        <v>0.6666666666666666</v>
      </c>
      <c r="U9" s="9" t="n">
        <v>2.318160220469448</v>
      </c>
      <c r="V9" s="7" t="n">
        <v>1</v>
      </c>
    </row>
    <row r="10">
      <c r="A10" s="8" t="inlineStr">
        <is>
          <t>TATACONSUM</t>
        </is>
      </c>
      <c r="B10" s="8" t="inlineStr">
        <is>
          <t>Tata Consumer Products Ltd</t>
        </is>
      </c>
      <c r="C10" s="9" t="n">
        <v>7.566793298872766</v>
      </c>
      <c r="D10" s="5" t="n">
        <v>0.1666666666666667</v>
      </c>
      <c r="E10" s="9" t="n">
        <v>11.69243370533429</v>
      </c>
      <c r="F10" s="5" t="n">
        <v>0</v>
      </c>
      <c r="G10" s="9" t="n">
        <v>7.990266999868473</v>
      </c>
      <c r="H10" s="5" t="n">
        <v>0.1666666666666667</v>
      </c>
      <c r="I10" s="9" t="n">
        <v>0.21654107242947</v>
      </c>
      <c r="J10" s="6" t="n">
        <v>0.3333333333333334</v>
      </c>
      <c r="K10" s="9" t="n">
        <v>26</v>
      </c>
      <c r="L10" s="5" t="n">
        <v>0.1666666666666667</v>
      </c>
      <c r="M10" s="9" t="n">
        <v>21.59956338772886</v>
      </c>
      <c r="N10" s="7" t="n">
        <v>1</v>
      </c>
      <c r="O10" s="9" t="n">
        <v>15.96086282879563</v>
      </c>
      <c r="P10" s="7" t="n">
        <v>1</v>
      </c>
      <c r="Q10" s="9" t="n">
        <v>14.86983549970351</v>
      </c>
      <c r="R10" s="7" t="n">
        <v>0.8</v>
      </c>
      <c r="S10" s="9" t="n">
        <v>25.32183908045977</v>
      </c>
      <c r="T10" s="6" t="n">
        <v>0.5</v>
      </c>
      <c r="U10" s="9" t="n">
        <v>0.5454284586965099</v>
      </c>
      <c r="V10" s="5" t="n">
        <v>0</v>
      </c>
    </row>
    <row r="12">
      <c r="A12" s="10" t="inlineStr">
        <is>
          <t>Peer Group Median</t>
        </is>
      </c>
      <c r="B12" s="10" t="inlineStr"/>
      <c r="C12" s="11">
        <f>MEDIAN(C4:C10)</f>
        <v/>
      </c>
      <c r="D12" s="10" t="n"/>
      <c r="E12" s="11">
        <f>MEDIAN(E4:E10)</f>
        <v/>
      </c>
      <c r="F12" s="10" t="n"/>
      <c r="G12" s="11">
        <f>MEDIAN(G4:G10)</f>
        <v/>
      </c>
      <c r="H12" s="10" t="n"/>
      <c r="I12" s="11">
        <f>MEDIAN(I4:I10)</f>
        <v/>
      </c>
      <c r="J12" s="10" t="n"/>
      <c r="K12" s="11">
        <f>MEDIAN(K4:K10)</f>
        <v/>
      </c>
      <c r="L12" s="10" t="n"/>
      <c r="M12" s="11">
        <f>MEDIAN(M4:M10)</f>
        <v/>
      </c>
      <c r="N12" s="10" t="n"/>
      <c r="O12" s="11">
        <f>MEDIAN(O4:O10)</f>
        <v/>
      </c>
      <c r="P12" s="10" t="n"/>
      <c r="Q12" s="11">
        <f>MEDIAN(Q4:Q10)</f>
        <v/>
      </c>
      <c r="R12" s="10" t="n"/>
      <c r="S12" s="11">
        <f>MEDIAN(S4:S10)</f>
        <v/>
      </c>
      <c r="T12" s="10" t="n"/>
      <c r="U12" s="11">
        <f>MEDIAN(U4:U10)</f>
        <v/>
      </c>
      <c r="V12" s="10" t="n"/>
    </row>
  </sheetData>
  <autoFilter ref="A3:V10"/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IT Services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TCS</t>
        </is>
      </c>
      <c r="B4" s="3" t="inlineStr">
        <is>
          <t>Tata Consultancy Services Ltd</t>
        </is>
      </c>
      <c r="C4" s="4" t="n">
        <v>50.94431367348518</v>
      </c>
      <c r="D4" s="7" t="n">
        <v>1</v>
      </c>
      <c r="E4" s="4" t="n">
        <v>65.26850065983149</v>
      </c>
      <c r="F4" s="7" t="n">
        <v>1</v>
      </c>
      <c r="G4" s="4" t="n">
        <v>19.13671215020777</v>
      </c>
      <c r="H4" s="7" t="n">
        <v>1</v>
      </c>
      <c r="I4" s="4" t="n">
        <v>0.0886406082507266</v>
      </c>
      <c r="J4" s="7" t="n">
        <v>0.75</v>
      </c>
      <c r="K4" s="4" t="n">
        <v>50429</v>
      </c>
      <c r="L4" s="7" t="n">
        <v>1</v>
      </c>
      <c r="M4" s="4" t="n">
        <v>7.871172131953608</v>
      </c>
      <c r="N4" s="5" t="n">
        <v>0.25</v>
      </c>
      <c r="O4" s="4" t="n">
        <v>10.4636148017166</v>
      </c>
      <c r="P4" s="5" t="n">
        <v>0.25</v>
      </c>
      <c r="Q4" s="4" t="n">
        <v>8.618771612987096</v>
      </c>
      <c r="R4" s="5" t="n">
        <v>0.25</v>
      </c>
      <c r="S4" s="4" t="n">
        <v>87.09511568123393</v>
      </c>
      <c r="T4" s="7" t="n">
        <v>0.75</v>
      </c>
      <c r="U4" s="4" t="n">
        <v>1.655940662120545</v>
      </c>
      <c r="V4" s="7" t="n">
        <v>1</v>
      </c>
    </row>
    <row r="5">
      <c r="A5" s="8" t="inlineStr">
        <is>
          <t>HCLTECH</t>
        </is>
      </c>
      <c r="B5" s="8" t="inlineStr">
        <is>
          <t>HCL Technologies Ltd</t>
        </is>
      </c>
      <c r="C5" s="9" t="n">
        <v>23.01393141233172</v>
      </c>
      <c r="D5" s="6" t="n">
        <v>0.5</v>
      </c>
      <c r="E5" s="9" t="n">
        <v>32.69072290295998</v>
      </c>
      <c r="F5" s="6" t="n">
        <v>0.5</v>
      </c>
      <c r="G5" s="9" t="n">
        <v>14.29312274253273</v>
      </c>
      <c r="H5" s="6" t="n">
        <v>0.5</v>
      </c>
      <c r="I5" s="9" t="n">
        <v>0.08435023365512796</v>
      </c>
      <c r="J5" s="7" t="n">
        <v>1</v>
      </c>
      <c r="K5" s="9" t="n">
        <v>15840</v>
      </c>
      <c r="L5" s="6" t="n">
        <v>0.5</v>
      </c>
      <c r="M5" s="9" t="n">
        <v>9.194090295112023</v>
      </c>
      <c r="N5" s="6" t="n">
        <v>0.5</v>
      </c>
      <c r="O5" s="9" t="n">
        <v>12.71029997837341</v>
      </c>
      <c r="P5" s="6" t="n">
        <v>0.5</v>
      </c>
      <c r="Q5" s="9" t="n">
        <v>9.407036350794119</v>
      </c>
      <c r="R5" s="6" t="n">
        <v>0.5</v>
      </c>
      <c r="S5" s="9" t="n">
        <v>46.46112115732369</v>
      </c>
      <c r="T5" s="6" t="n">
        <v>0.5</v>
      </c>
      <c r="U5" s="9" t="n">
        <v>1.110165040502596</v>
      </c>
      <c r="V5" s="5" t="n">
        <v>0</v>
      </c>
    </row>
    <row r="6">
      <c r="A6" s="8" t="inlineStr">
        <is>
          <t>INFY</t>
        </is>
      </c>
      <c r="B6" s="8" t="inlineStr">
        <is>
          <t>Infosys Ltd</t>
        </is>
      </c>
      <c r="C6" s="9" t="n">
        <v>29.78800671841663</v>
      </c>
      <c r="D6" s="7" t="n">
        <v>0.75</v>
      </c>
      <c r="E6" s="9" t="n">
        <v>37.75589530966572</v>
      </c>
      <c r="F6" s="7" t="n">
        <v>0.75</v>
      </c>
      <c r="G6" s="9" t="n">
        <v>17.08075746730006</v>
      </c>
      <c r="H6" s="7" t="n">
        <v>0.75</v>
      </c>
      <c r="I6" s="9" t="n">
        <v>0.09486358890553362</v>
      </c>
      <c r="J6" s="6" t="n">
        <v>0.5</v>
      </c>
      <c r="K6" s="9" t="n">
        <v>20117</v>
      </c>
      <c r="L6" s="7" t="n">
        <v>0.75</v>
      </c>
      <c r="M6" s="9" t="n">
        <v>11.23941998365794</v>
      </c>
      <c r="N6" s="7" t="n">
        <v>0.75</v>
      </c>
      <c r="O6" s="9" t="n">
        <v>13.19910093055623</v>
      </c>
      <c r="P6" s="7" t="n">
        <v>0.75</v>
      </c>
      <c r="Q6" s="9" t="n">
        <v>12.47461131420948</v>
      </c>
      <c r="R6" s="7" t="n">
        <v>1</v>
      </c>
      <c r="S6" s="9" t="n">
        <v>87.52340425531915</v>
      </c>
      <c r="T6" s="7" t="n">
        <v>1</v>
      </c>
      <c r="U6" s="9" t="n">
        <v>1.129760329363329</v>
      </c>
      <c r="V6" s="5" t="n">
        <v>0.25</v>
      </c>
    </row>
    <row r="7">
      <c r="A7" s="8" t="inlineStr">
        <is>
          <t>LTIM</t>
        </is>
      </c>
      <c r="B7" s="8" t="inlineStr">
        <is>
          <t>LTIMindtree Ltd</t>
        </is>
      </c>
      <c r="C7" s="9" t="n">
        <v>22.9043860525527</v>
      </c>
      <c r="D7" s="5" t="n">
        <v>0.25</v>
      </c>
      <c r="E7" s="9" t="n">
        <v>28.91484449273394</v>
      </c>
      <c r="F7" s="5" t="n">
        <v>0.25</v>
      </c>
      <c r="G7" s="9" t="n">
        <v>12.90931103415266</v>
      </c>
      <c r="H7" s="5" t="n">
        <v>0.25</v>
      </c>
      <c r="I7" s="9" t="n">
        <v>0.1034568888000799</v>
      </c>
      <c r="J7" s="5" t="n">
        <v>0</v>
      </c>
      <c r="K7" s="9" t="n">
        <v>1752</v>
      </c>
      <c r="L7" s="5" t="n">
        <v>0</v>
      </c>
      <c r="M7" s="9" t="n">
        <v>24.775129058601</v>
      </c>
      <c r="N7" s="7" t="n">
        <v>1</v>
      </c>
      <c r="O7" s="9" t="n">
        <v>30.32798083513346</v>
      </c>
      <c r="P7" s="7" t="n">
        <v>1</v>
      </c>
      <c r="Q7" s="9" t="n">
        <v>12.24383304425547</v>
      </c>
      <c r="R7" s="7" t="n">
        <v>0.75</v>
      </c>
      <c r="S7" s="9" t="n">
        <v>31.93243243243243</v>
      </c>
      <c r="T7" s="5" t="n">
        <v>0.25</v>
      </c>
      <c r="U7" s="9" t="n">
        <v>1.289464130119082</v>
      </c>
      <c r="V7" s="7" t="n">
        <v>0.75</v>
      </c>
    </row>
    <row r="8">
      <c r="A8" s="8" t="inlineStr">
        <is>
          <t>TECHM</t>
        </is>
      </c>
      <c r="B8" s="8" t="inlineStr">
        <is>
          <t>Tech Mahindra Ltd</t>
        </is>
      </c>
      <c r="C8" s="9" t="n">
        <v>8.987963553189097</v>
      </c>
      <c r="D8" s="5" t="n">
        <v>0</v>
      </c>
      <c r="E8" s="9" t="n">
        <v>15.42833664315552</v>
      </c>
      <c r="F8" s="5" t="n">
        <v>0</v>
      </c>
      <c r="G8" s="9" t="n">
        <v>4.60996999769213</v>
      </c>
      <c r="H8" s="5" t="n">
        <v>0</v>
      </c>
      <c r="I8" s="9" t="n">
        <v>0.09512917619708275</v>
      </c>
      <c r="J8" s="5" t="n">
        <v>0.25</v>
      </c>
      <c r="K8" s="9" t="n">
        <v>5058</v>
      </c>
      <c r="L8" s="5" t="n">
        <v>0.25</v>
      </c>
      <c r="M8" s="9" t="n">
        <v>-10.98516368821859</v>
      </c>
      <c r="N8" s="5" t="n">
        <v>0</v>
      </c>
      <c r="O8" s="9" t="n">
        <v>8.398437919098868</v>
      </c>
      <c r="P8" s="5" t="n">
        <v>0</v>
      </c>
      <c r="Q8" s="9" t="n">
        <v>-11.41672896552428</v>
      </c>
      <c r="R8" s="5" t="n">
        <v>0</v>
      </c>
      <c r="S8" s="9" t="n">
        <v>13.85969387755102</v>
      </c>
      <c r="T8" s="5" t="n">
        <v>0</v>
      </c>
      <c r="U8" s="9" t="n">
        <v>1.205033720364319</v>
      </c>
      <c r="V8" s="6" t="n">
        <v>0.5</v>
      </c>
    </row>
    <row r="10">
      <c r="A10" s="10" t="inlineStr">
        <is>
          <t>Peer Group Median</t>
        </is>
      </c>
      <c r="B10" s="10" t="inlineStr"/>
      <c r="C10" s="11">
        <f>MEDIAN(C4:C8)</f>
        <v/>
      </c>
      <c r="D10" s="10" t="n"/>
      <c r="E10" s="11">
        <f>MEDIAN(E4:E8)</f>
        <v/>
      </c>
      <c r="F10" s="10" t="n"/>
      <c r="G10" s="11">
        <f>MEDIAN(G4:G8)</f>
        <v/>
      </c>
      <c r="H10" s="10" t="n"/>
      <c r="I10" s="11">
        <f>MEDIAN(I4:I8)</f>
        <v/>
      </c>
      <c r="J10" s="10" t="n"/>
      <c r="K10" s="11">
        <f>MEDIAN(K4:K8)</f>
        <v/>
      </c>
      <c r="L10" s="10" t="n"/>
      <c r="M10" s="11">
        <f>MEDIAN(M4:M8)</f>
        <v/>
      </c>
      <c r="N10" s="10" t="n"/>
      <c r="O10" s="11">
        <f>MEDIAN(O4:O8)</f>
        <v/>
      </c>
      <c r="P10" s="10" t="n"/>
      <c r="Q10" s="11">
        <f>MEDIAN(Q4:Q8)</f>
        <v/>
      </c>
      <c r="R10" s="10" t="n"/>
      <c r="S10" s="11">
        <f>MEDIAN(S4:S8)</f>
        <v/>
      </c>
      <c r="T10" s="10" t="n"/>
      <c r="U10" s="11">
        <f>MEDIAN(U4:U8)</f>
        <v/>
      </c>
      <c r="V10" s="10" t="n"/>
    </row>
  </sheetData>
  <autoFilter ref="A3:V8"/>
  <mergeCells count="1"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Life Insurance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LICI</t>
        </is>
      </c>
      <c r="B4" s="3" t="inlineStr">
        <is>
          <t>Life Insurance Corporation of India</t>
        </is>
      </c>
      <c r="C4" s="4" t="n">
        <v>49.44710986501021</v>
      </c>
      <c r="D4" s="7" t="n">
        <v>1</v>
      </c>
      <c r="E4" s="4" t="n">
        <v>39.61352073186944</v>
      </c>
      <c r="F4" s="6" t="n">
        <v>0.3333333333333333</v>
      </c>
      <c r="G4" s="4" t="n">
        <v>4.836600998148862</v>
      </c>
      <c r="H4" s="7" t="n">
        <v>1</v>
      </c>
      <c r="I4" s="4" t="n">
        <v>0</v>
      </c>
      <c r="J4" s="7" t="n">
        <v>1</v>
      </c>
      <c r="K4" s="4" t="n">
        <v>853</v>
      </c>
      <c r="L4" s="7" t="n">
        <v>1</v>
      </c>
      <c r="M4" s="4" t="n">
        <v>73.17556747076097</v>
      </c>
      <c r="N4" s="7" t="n">
        <v>1</v>
      </c>
      <c r="O4" s="4" t="n">
        <v>8.15986061977938</v>
      </c>
      <c r="P4" s="5" t="n">
        <v>0</v>
      </c>
      <c r="Q4" s="4" t="n"/>
      <c r="R4" s="8" t="n"/>
      <c r="S4" s="4" t="n">
        <v>371.9375</v>
      </c>
      <c r="T4" s="7" t="n">
        <v>1</v>
      </c>
      <c r="U4" s="4" t="n">
        <v>0.1591344094587576</v>
      </c>
      <c r="V4" s="5" t="n">
        <v>0</v>
      </c>
    </row>
    <row r="5">
      <c r="A5" s="8" t="inlineStr">
        <is>
          <t>HDFCLIFE</t>
        </is>
      </c>
      <c r="B5" s="8" t="inlineStr">
        <is>
          <t>HDFC Life Insurance Company Ltd</t>
        </is>
      </c>
      <c r="C5" s="9" t="n">
        <v>10.73230601390972</v>
      </c>
      <c r="D5" s="6" t="n">
        <v>0.3333333333333333</v>
      </c>
      <c r="E5" s="9" t="n">
        <v>646.4587602459017</v>
      </c>
      <c r="F5" s="6" t="n">
        <v>0.6666666666666666</v>
      </c>
      <c r="G5" s="9" t="n">
        <v>1.551013972921306</v>
      </c>
      <c r="H5" s="6" t="n">
        <v>0.6666666666666666</v>
      </c>
      <c r="I5" s="9" t="n">
        <v>0.06477567162143734</v>
      </c>
      <c r="J5" s="6" t="n">
        <v>0.3333333333333334</v>
      </c>
      <c r="K5" s="9" t="n">
        <v>-2893</v>
      </c>
      <c r="L5" s="5" t="n">
        <v>0</v>
      </c>
      <c r="M5" s="9" t="n">
        <v>4.25449161597129</v>
      </c>
      <c r="N5" s="6" t="n">
        <v>0.3333333333333333</v>
      </c>
      <c r="O5" s="9" t="n">
        <v>21.16813430936688</v>
      </c>
      <c r="P5" s="6" t="n">
        <v>0.6666666666666666</v>
      </c>
      <c r="Q5" s="9" t="n">
        <v>3.131030647754507</v>
      </c>
      <c r="R5" s="6" t="n">
        <v>0.5</v>
      </c>
      <c r="S5" s="9" t="n">
        <v>192.2895238095238</v>
      </c>
      <c r="T5" s="6" t="n">
        <v>0.3333333333333333</v>
      </c>
      <c r="U5" s="9" t="n">
        <v>0.3352704278677314</v>
      </c>
      <c r="V5" s="7" t="n">
        <v>1</v>
      </c>
    </row>
    <row r="6">
      <c r="A6" s="8" t="inlineStr">
        <is>
          <t>ICICIPRULI</t>
        </is>
      </c>
      <c r="B6" s="8" t="inlineStr">
        <is>
          <t>ICICI Prudential Life Insurance Company Ltd</t>
        </is>
      </c>
      <c r="C6" s="9" t="n">
        <v>7.732848705134029</v>
      </c>
      <c r="D6" s="5" t="n">
        <v>0</v>
      </c>
      <c r="E6" s="9" t="n">
        <v>754.9037279803359</v>
      </c>
      <c r="F6" s="7" t="n">
        <v>1</v>
      </c>
      <c r="G6" s="9" t="n">
        <v>0.942341125272681</v>
      </c>
      <c r="H6" s="5" t="n">
        <v>0</v>
      </c>
      <c r="I6" s="9" t="n">
        <v>0.1090413448432531</v>
      </c>
      <c r="J6" s="5" t="n">
        <v>0</v>
      </c>
      <c r="K6" s="9" t="n">
        <v>105</v>
      </c>
      <c r="L6" s="6" t="n">
        <v>0.6666666666666666</v>
      </c>
      <c r="M6" s="9" t="n">
        <v>-5.663194189152343</v>
      </c>
      <c r="N6" s="5" t="n">
        <v>0</v>
      </c>
      <c r="O6" s="9" t="n">
        <v>16.84553965244746</v>
      </c>
      <c r="P6" s="6" t="n">
        <v>0.3333333333333333</v>
      </c>
      <c r="Q6" s="9" t="n">
        <v>-5.591248870509801</v>
      </c>
      <c r="R6" s="5" t="n">
        <v>0</v>
      </c>
      <c r="S6" s="9" t="n">
        <v>31.02154882154882</v>
      </c>
      <c r="T6" s="5" t="n">
        <v>0</v>
      </c>
      <c r="U6" s="9" t="n">
        <v>0.3020290902037117</v>
      </c>
      <c r="V6" s="6" t="n">
        <v>0.3333333333333333</v>
      </c>
    </row>
    <row r="7">
      <c r="A7" s="8" t="inlineStr">
        <is>
          <t>SBILIFE</t>
        </is>
      </c>
      <c r="B7" s="8" t="inlineStr">
        <is>
          <t>SBI Life Insurance Company Ltd</t>
        </is>
      </c>
      <c r="C7" s="9" t="n">
        <v>12.70458814059566</v>
      </c>
      <c r="D7" s="6" t="n">
        <v>0.6666666666666666</v>
      </c>
      <c r="E7" s="9" t="n">
        <v>1.650120740541991</v>
      </c>
      <c r="F7" s="5" t="n">
        <v>0</v>
      </c>
      <c r="G7" s="9" t="n">
        <v>1.434978937479165</v>
      </c>
      <c r="H7" s="6" t="n">
        <v>0.3333333333333333</v>
      </c>
      <c r="I7" s="9" t="n">
        <v>0</v>
      </c>
      <c r="J7" s="7" t="n">
        <v>1</v>
      </c>
      <c r="K7" s="9" t="n">
        <v>-2099</v>
      </c>
      <c r="L7" s="6" t="n">
        <v>0.3333333333333333</v>
      </c>
      <c r="M7" s="9" t="n">
        <v>7.374662152227485</v>
      </c>
      <c r="N7" s="6" t="n">
        <v>0.6666666666666666</v>
      </c>
      <c r="O7" s="9" t="n">
        <v>24.23161418236754</v>
      </c>
      <c r="P7" s="7" t="n">
        <v>1</v>
      </c>
      <c r="Q7" s="9" t="n">
        <v>7.885244396237145</v>
      </c>
      <c r="R7" s="7" t="n">
        <v>1</v>
      </c>
      <c r="S7" s="9" t="n">
        <v>240.3333333333333</v>
      </c>
      <c r="T7" s="6" t="n">
        <v>0.6666666666666666</v>
      </c>
      <c r="U7" s="9" t="n">
        <v>0.3313791900054984</v>
      </c>
      <c r="V7" s="6" t="n">
        <v>0.6666666666666666</v>
      </c>
    </row>
    <row r="9">
      <c r="A9" s="10" t="inlineStr">
        <is>
          <t>Peer Group Median</t>
        </is>
      </c>
      <c r="B9" s="10" t="inlineStr"/>
      <c r="C9" s="11">
        <f>MEDIAN(C4:C7)</f>
        <v/>
      </c>
      <c r="D9" s="10" t="n"/>
      <c r="E9" s="11">
        <f>MEDIAN(E4:E7)</f>
        <v/>
      </c>
      <c r="F9" s="10" t="n"/>
      <c r="G9" s="11">
        <f>MEDIAN(G4:G7)</f>
        <v/>
      </c>
      <c r="H9" s="10" t="n"/>
      <c r="I9" s="11">
        <f>MEDIAN(I4:I7)</f>
        <v/>
      </c>
      <c r="J9" s="10" t="n"/>
      <c r="K9" s="11">
        <f>MEDIAN(K4:K7)</f>
        <v/>
      </c>
      <c r="L9" s="10" t="n"/>
      <c r="M9" s="11">
        <f>MEDIAN(M4:M7)</f>
        <v/>
      </c>
      <c r="N9" s="10" t="n"/>
      <c r="O9" s="11">
        <f>MEDIAN(O4:O7)</f>
        <v/>
      </c>
      <c r="P9" s="10" t="n"/>
      <c r="Q9" s="11">
        <f>MEDIAN(Q4:Q7)</f>
        <v/>
      </c>
      <c r="R9" s="10" t="n"/>
      <c r="S9" s="11">
        <f>MEDIAN(S4:S7)</f>
        <v/>
      </c>
      <c r="T9" s="10" t="n"/>
      <c r="U9" s="11">
        <f>MEDIAN(U4:U7)</f>
        <v/>
      </c>
      <c r="V9" s="10" t="n"/>
    </row>
  </sheetData>
  <autoFilter ref="A3:V7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Oil &amp; Gas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RELIANCE</t>
        </is>
      </c>
      <c r="B4" s="3" t="inlineStr">
        <is>
          <t xml:space="preserve">Reliance Industries Ltd
</t>
        </is>
      </c>
      <c r="C4" s="4" t="n">
        <v>9.958650553699458</v>
      </c>
      <c r="D4" s="5" t="n">
        <v>0</v>
      </c>
      <c r="E4" s="4" t="n">
        <v>12.97418225716822</v>
      </c>
      <c r="F4" s="5" t="n">
        <v>0</v>
      </c>
      <c r="G4" s="4" t="n">
        <v>8.789365557299389</v>
      </c>
      <c r="H4" s="7" t="n">
        <v>0.75</v>
      </c>
      <c r="I4" s="4" t="n">
        <v>0.5784524141094746</v>
      </c>
      <c r="J4" s="6" t="n">
        <v>0.5</v>
      </c>
      <c r="K4" s="4" t="n">
        <v>45207</v>
      </c>
      <c r="L4" s="7" t="n">
        <v>1</v>
      </c>
      <c r="M4" s="4" t="n">
        <v>14.68063260349559</v>
      </c>
      <c r="N4" s="6" t="n">
        <v>0.5</v>
      </c>
      <c r="O4" s="4" t="n">
        <v>9.606097094616972</v>
      </c>
      <c r="P4" s="7" t="n">
        <v>0.75</v>
      </c>
      <c r="Q4" s="4" t="n">
        <v>11.95266483252204</v>
      </c>
      <c r="R4" s="6" t="n">
        <v>0.5</v>
      </c>
      <c r="S4" s="4" t="n">
        <v>7.728912535686478</v>
      </c>
      <c r="T4" s="5" t="n">
        <v>0</v>
      </c>
      <c r="U4" s="4" t="n">
        <v>0.5122600635424216</v>
      </c>
      <c r="V4" s="5" t="n">
        <v>0</v>
      </c>
    </row>
    <row r="5">
      <c r="A5" s="8" t="inlineStr">
        <is>
          <t>BPCL</t>
        </is>
      </c>
      <c r="B5" s="8" t="inlineStr">
        <is>
          <t>Bharat Petroleum Corporation Ltd</t>
        </is>
      </c>
      <c r="C5" s="9" t="n">
        <v>35.51133734382231</v>
      </c>
      <c r="D5" s="7" t="n">
        <v>1</v>
      </c>
      <c r="E5" s="9" t="n">
        <v>33.84830382235054</v>
      </c>
      <c r="F5" s="7" t="n">
        <v>1</v>
      </c>
      <c r="G5" s="9" t="n">
        <v>5.994201967046283</v>
      </c>
      <c r="H5" s="5" t="n">
        <v>0.25</v>
      </c>
      <c r="I5" s="9" t="n">
        <v>0.7218747934157467</v>
      </c>
      <c r="J5" s="5" t="n">
        <v>0.25</v>
      </c>
      <c r="K5" s="9" t="n">
        <v>25415</v>
      </c>
      <c r="L5" s="5" t="n">
        <v>0.25</v>
      </c>
      <c r="M5" s="9" t="n">
        <v>25.79069872974655</v>
      </c>
      <c r="N5" s="7" t="n">
        <v>1</v>
      </c>
      <c r="O5" s="9" t="n">
        <v>8.483226324685255</v>
      </c>
      <c r="P5" s="6" t="n">
        <v>0.5</v>
      </c>
      <c r="Q5" s="9" t="n">
        <v>28.06304880261565</v>
      </c>
      <c r="R5" s="7" t="n">
        <v>1</v>
      </c>
      <c r="S5" s="9" t="n">
        <v>11.35550735116896</v>
      </c>
      <c r="T5" s="6" t="n">
        <v>0.5</v>
      </c>
      <c r="U5" s="9" t="n">
        <v>2.213651947949293</v>
      </c>
      <c r="V5" s="7" t="n">
        <v>1</v>
      </c>
    </row>
    <row r="6">
      <c r="A6" s="8" t="inlineStr">
        <is>
          <t>GAIL</t>
        </is>
      </c>
      <c r="B6" s="8" t="inlineStr">
        <is>
          <t>GAIL (India) Ltd</t>
        </is>
      </c>
      <c r="C6" s="9" t="n">
        <v>12.86154006000234</v>
      </c>
      <c r="D6" s="5" t="n">
        <v>0.25</v>
      </c>
      <c r="E6" s="9" t="n">
        <v>14.48917411505096</v>
      </c>
      <c r="F6" s="5" t="n">
        <v>0.25</v>
      </c>
      <c r="G6" s="9" t="n">
        <v>7.433122166511544</v>
      </c>
      <c r="H6" s="6" t="n">
        <v>0.5</v>
      </c>
      <c r="I6" s="9" t="n">
        <v>0.2830499889606088</v>
      </c>
      <c r="J6" s="7" t="n">
        <v>1</v>
      </c>
      <c r="K6" s="9" t="n">
        <v>4360</v>
      </c>
      <c r="L6" s="5" t="n">
        <v>0</v>
      </c>
      <c r="M6" s="9" t="n">
        <v>8.608876760374562</v>
      </c>
      <c r="N6" s="5" t="n">
        <v>0</v>
      </c>
      <c r="O6" s="9" t="n">
        <v>11.82515452182427</v>
      </c>
      <c r="P6" s="7" t="n">
        <v>1</v>
      </c>
      <c r="Q6" s="9" t="n">
        <v>8.447177119769854</v>
      </c>
      <c r="R6" s="5" t="n">
        <v>0</v>
      </c>
      <c r="S6" s="9" t="n">
        <v>23.62447844228095</v>
      </c>
      <c r="T6" s="7" t="n">
        <v>1</v>
      </c>
      <c r="U6" s="9" t="n">
        <v>1.068088347296268</v>
      </c>
      <c r="V6" s="6" t="n">
        <v>0.5</v>
      </c>
    </row>
    <row r="7">
      <c r="A7" s="8" t="inlineStr">
        <is>
          <t>IOC</t>
        </is>
      </c>
      <c r="B7" s="8" t="inlineStr">
        <is>
          <t xml:space="preserve">Indian Oil Corporation
</t>
        </is>
      </c>
      <c r="C7" s="9" t="n">
        <v>23.53162465856491</v>
      </c>
      <c r="D7" s="7" t="n">
        <v>0.75</v>
      </c>
      <c r="E7" s="9" t="n">
        <v>23.93519910139379</v>
      </c>
      <c r="F7" s="7" t="n">
        <v>0.75</v>
      </c>
      <c r="G7" s="9" t="n">
        <v>5.559462717942377</v>
      </c>
      <c r="H7" s="5" t="n">
        <v>0</v>
      </c>
      <c r="I7" s="9" t="n">
        <v>0.7230954600718581</v>
      </c>
      <c r="J7" s="5" t="n">
        <v>0</v>
      </c>
      <c r="K7" s="9" t="n">
        <v>39635</v>
      </c>
      <c r="L7" s="6" t="n">
        <v>0.5</v>
      </c>
      <c r="M7" s="9" t="n">
        <v>20.09908996673164</v>
      </c>
      <c r="N7" s="7" t="n">
        <v>0.75</v>
      </c>
      <c r="O7" s="9" t="n">
        <v>8.008755667240486</v>
      </c>
      <c r="P7" s="5" t="n">
        <v>0.25</v>
      </c>
      <c r="Q7" s="9" t="n">
        <v>20.11244339814313</v>
      </c>
      <c r="R7" s="7" t="n">
        <v>0.75</v>
      </c>
      <c r="S7" s="9" t="n">
        <v>10.28232457809923</v>
      </c>
      <c r="T7" s="5" t="n">
        <v>0.25</v>
      </c>
      <c r="U7" s="9" t="n">
        <v>1.608409660170339</v>
      </c>
      <c r="V7" s="7" t="n">
        <v>0.75</v>
      </c>
    </row>
    <row r="8">
      <c r="A8" s="8" t="inlineStr">
        <is>
          <t>ONGC</t>
        </is>
      </c>
      <c r="B8" s="8" t="inlineStr">
        <is>
          <t>Oil &amp; Natural Gas Corpn Ltd</t>
        </is>
      </c>
      <c r="C8" s="9" t="n">
        <v>16.94039813688551</v>
      </c>
      <c r="D8" s="6" t="n">
        <v>0.5</v>
      </c>
      <c r="E8" s="9" t="n">
        <v>20.9759898500972</v>
      </c>
      <c r="F8" s="6" t="n">
        <v>0.5</v>
      </c>
      <c r="G8" s="9" t="n">
        <v>9.655290194725701</v>
      </c>
      <c r="H8" s="7" t="n">
        <v>1</v>
      </c>
      <c r="I8" s="9" t="n">
        <v>0.4544486308481918</v>
      </c>
      <c r="J8" s="7" t="n">
        <v>0.75</v>
      </c>
      <c r="K8" s="9" t="n">
        <v>42060</v>
      </c>
      <c r="L8" s="7" t="n">
        <v>0.75</v>
      </c>
      <c r="M8" s="9" t="n">
        <v>10.96639922553624</v>
      </c>
      <c r="N8" s="5" t="n">
        <v>0.25</v>
      </c>
      <c r="O8" s="9" t="n">
        <v>7.001683761214439</v>
      </c>
      <c r="P8" s="5" t="n">
        <v>0</v>
      </c>
      <c r="Q8" s="9" t="n">
        <v>10.19722877214802</v>
      </c>
      <c r="R8" s="5" t="n">
        <v>0.25</v>
      </c>
      <c r="S8" s="9" t="n">
        <v>11.361290955464</v>
      </c>
      <c r="T8" s="7" t="n">
        <v>0.75</v>
      </c>
      <c r="U8" s="9" t="n">
        <v>0.8332173339682772</v>
      </c>
      <c r="V8" s="5" t="n">
        <v>0.25</v>
      </c>
    </row>
    <row r="10">
      <c r="A10" s="10" t="inlineStr">
        <is>
          <t>Peer Group Median</t>
        </is>
      </c>
      <c r="B10" s="10" t="inlineStr"/>
      <c r="C10" s="11">
        <f>MEDIAN(C4:C8)</f>
        <v/>
      </c>
      <c r="D10" s="10" t="n"/>
      <c r="E10" s="11">
        <f>MEDIAN(E4:E8)</f>
        <v/>
      </c>
      <c r="F10" s="10" t="n"/>
      <c r="G10" s="11">
        <f>MEDIAN(G4:G8)</f>
        <v/>
      </c>
      <c r="H10" s="10" t="n"/>
      <c r="I10" s="11">
        <f>MEDIAN(I4:I8)</f>
        <v/>
      </c>
      <c r="J10" s="10" t="n"/>
      <c r="K10" s="11">
        <f>MEDIAN(K4:K8)</f>
        <v/>
      </c>
      <c r="L10" s="10" t="n"/>
      <c r="M10" s="11">
        <f>MEDIAN(M4:M8)</f>
        <v/>
      </c>
      <c r="N10" s="10" t="n"/>
      <c r="O10" s="11">
        <f>MEDIAN(O4:O8)</f>
        <v/>
      </c>
      <c r="P10" s="10" t="n"/>
      <c r="Q10" s="11">
        <f>MEDIAN(Q4:Q8)</f>
        <v/>
      </c>
      <c r="R10" s="10" t="n"/>
      <c r="S10" s="11">
        <f>MEDIAN(S4:S8)</f>
        <v/>
      </c>
      <c r="T10" s="10" t="n"/>
      <c r="U10" s="11">
        <f>MEDIAN(U4:U8)</f>
        <v/>
      </c>
      <c r="V10" s="10" t="n"/>
    </row>
  </sheetData>
  <autoFilter ref="A3:V8"/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Pharmaceuticals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SUNPHARMA</t>
        </is>
      </c>
      <c r="B4" s="3" t="inlineStr">
        <is>
          <t>Sun Pharmaceuticals Industries Ltd</t>
        </is>
      </c>
      <c r="C4" s="4" t="n">
        <v>15.09416181067115</v>
      </c>
      <c r="D4" s="5" t="n">
        <v>0.25</v>
      </c>
      <c r="E4" s="4" t="n">
        <v>19.44697569501501</v>
      </c>
      <c r="F4" s="5" t="n">
        <v>0.25</v>
      </c>
      <c r="G4" s="4" t="n">
        <v>19.81565870053818</v>
      </c>
      <c r="H4" s="6" t="n">
        <v>0.5</v>
      </c>
      <c r="I4" s="4" t="n">
        <v>0.05142381453500244</v>
      </c>
      <c r="J4" s="6" t="n">
        <v>0.5</v>
      </c>
      <c r="K4" s="4" t="n">
        <v>11372</v>
      </c>
      <c r="L4" s="7" t="n">
        <v>1</v>
      </c>
      <c r="M4" s="4" t="n">
        <v>24.53682964293125</v>
      </c>
      <c r="N4" s="7" t="n">
        <v>0.75</v>
      </c>
      <c r="O4" s="4" t="n">
        <v>10.78116321985565</v>
      </c>
      <c r="P4" s="7" t="n">
        <v>0.75</v>
      </c>
      <c r="Q4" s="4" t="n">
        <v>29.45936165164078</v>
      </c>
      <c r="R4" s="7" t="n">
        <v>0.75</v>
      </c>
      <c r="S4" s="4" t="n">
        <v>58.33193277310924</v>
      </c>
      <c r="T4" s="7" t="n">
        <v>0.75</v>
      </c>
      <c r="U4" s="4" t="n">
        <v>0.5684929901064378</v>
      </c>
      <c r="V4" s="5" t="n">
        <v>0.25</v>
      </c>
    </row>
    <row r="5">
      <c r="A5" s="8" t="inlineStr">
        <is>
          <t>CIPLA</t>
        </is>
      </c>
      <c r="B5" s="8" t="inlineStr">
        <is>
          <t xml:space="preserve">Cipla Ltd
</t>
        </is>
      </c>
      <c r="C5" s="9" t="n">
        <v>15.55455702838313</v>
      </c>
      <c r="D5" s="6" t="n">
        <v>0.5</v>
      </c>
      <c r="E5" s="9" t="n">
        <v>71.45791307537137</v>
      </c>
      <c r="F5" s="7" t="n">
        <v>1</v>
      </c>
      <c r="G5" s="9" t="n">
        <v>16.11701714906495</v>
      </c>
      <c r="H5" s="5" t="n">
        <v>0.25</v>
      </c>
      <c r="I5" s="9" t="n">
        <v>0.02093162585186849</v>
      </c>
      <c r="J5" s="7" t="n">
        <v>0.75</v>
      </c>
      <c r="K5" s="9" t="n">
        <v>1152</v>
      </c>
      <c r="L5" s="6" t="n">
        <v>0.5</v>
      </c>
      <c r="M5" s="9" t="n">
        <v>22.72683484800089</v>
      </c>
      <c r="N5" s="5" t="n">
        <v>0.25</v>
      </c>
      <c r="O5" s="9" t="n">
        <v>9.513860126378049</v>
      </c>
      <c r="P5" s="5" t="n">
        <v>0.25</v>
      </c>
      <c r="Q5" s="9" t="n">
        <v>21.83254460856599</v>
      </c>
      <c r="R5" s="5" t="n">
        <v>0.25</v>
      </c>
      <c r="S5" s="9" t="n">
        <v>35.33876811594203</v>
      </c>
      <c r="T5" s="5" t="n">
        <v>0.25</v>
      </c>
      <c r="U5" s="9" t="n">
        <v>0.7922417237881536</v>
      </c>
      <c r="V5" s="7" t="n">
        <v>1</v>
      </c>
    </row>
    <row r="6">
      <c r="A6" s="8" t="inlineStr">
        <is>
          <t>DIVISLAB</t>
        </is>
      </c>
      <c r="B6" s="8" t="inlineStr">
        <is>
          <t>Divis Laboratories Ltd</t>
        </is>
      </c>
      <c r="C6" s="9" t="n">
        <v>11.78984599513669</v>
      </c>
      <c r="D6" s="5" t="n">
        <v>0</v>
      </c>
      <c r="E6" s="9" t="n">
        <v>16.28112568144983</v>
      </c>
      <c r="F6" s="5" t="n">
        <v>0</v>
      </c>
      <c r="G6" s="9" t="n">
        <v>20.39515615041428</v>
      </c>
      <c r="H6" s="7" t="n">
        <v>1</v>
      </c>
      <c r="I6" s="9" t="n">
        <v>0.0002210596124088129</v>
      </c>
      <c r="J6" s="7" t="n">
        <v>1</v>
      </c>
      <c r="K6" s="9" t="n">
        <v>992</v>
      </c>
      <c r="L6" s="5" t="n">
        <v>0.25</v>
      </c>
      <c r="M6" s="9" t="n">
        <v>3.410452192508084</v>
      </c>
      <c r="N6" s="5" t="n">
        <v>0</v>
      </c>
      <c r="O6" s="9" t="n">
        <v>9.664930361854074</v>
      </c>
      <c r="P6" s="6" t="n">
        <v>0.5</v>
      </c>
      <c r="Q6" s="9" t="n">
        <v>3.303780411393231</v>
      </c>
      <c r="R6" s="5" t="n">
        <v>0</v>
      </c>
      <c r="S6" s="9" t="n">
        <v>636.25</v>
      </c>
      <c r="T6" s="7" t="n">
        <v>1</v>
      </c>
      <c r="U6" s="9" t="n">
        <v>0.5074385510996119</v>
      </c>
      <c r="V6" s="5" t="n">
        <v>0</v>
      </c>
    </row>
    <row r="7">
      <c r="A7" s="8" t="inlineStr">
        <is>
          <t>DRREDDY</t>
        </is>
      </c>
      <c r="B7" s="8" t="inlineStr">
        <is>
          <t>Dr Reddys Laboratories Ltd</t>
        </is>
      </c>
      <c r="C7" s="9" t="n">
        <v>19.74233736816026</v>
      </c>
      <c r="D7" s="7" t="n">
        <v>0.75</v>
      </c>
      <c r="E7" s="9" t="n">
        <v>26.21959280803807</v>
      </c>
      <c r="F7" s="6" t="n">
        <v>0.5</v>
      </c>
      <c r="G7" s="9" t="n">
        <v>19.9136053693192</v>
      </c>
      <c r="H7" s="7" t="n">
        <v>0.75</v>
      </c>
      <c r="I7" s="9" t="n">
        <v>0.07085722375592836</v>
      </c>
      <c r="J7" s="5" t="n">
        <v>0.25</v>
      </c>
      <c r="K7" s="9" t="n">
        <v>509</v>
      </c>
      <c r="L7" s="5" t="n">
        <v>0</v>
      </c>
      <c r="M7" s="9" t="n">
        <v>23.39250464543747</v>
      </c>
      <c r="N7" s="6" t="n">
        <v>0.5</v>
      </c>
      <c r="O7" s="9" t="n">
        <v>12.63964434957199</v>
      </c>
      <c r="P7" s="7" t="n">
        <v>1</v>
      </c>
      <c r="Q7" s="9" t="n">
        <v>23.84240955838754</v>
      </c>
      <c r="R7" s="6" t="n">
        <v>0.5</v>
      </c>
      <c r="S7" s="9" t="n">
        <v>51.70760233918129</v>
      </c>
      <c r="T7" s="6" t="n">
        <v>0.5</v>
      </c>
      <c r="U7" s="9" t="n">
        <v>0.7223053120165034</v>
      </c>
      <c r="V7" s="6" t="n">
        <v>0.5</v>
      </c>
    </row>
    <row r="8">
      <c r="A8" s="8" t="inlineStr">
        <is>
          <t>TORNTPHARM</t>
        </is>
      </c>
      <c r="B8" s="8" t="inlineStr">
        <is>
          <t>Torrent Pharmaceuticals Ltd</t>
        </is>
      </c>
      <c r="C8" s="9" t="n">
        <v>24.15402567094516</v>
      </c>
      <c r="D8" s="7" t="n">
        <v>1</v>
      </c>
      <c r="E8" s="9" t="n">
        <v>30.96157381871668</v>
      </c>
      <c r="F8" s="7" t="n">
        <v>0.75</v>
      </c>
      <c r="G8" s="9" t="n">
        <v>15.43624161073826</v>
      </c>
      <c r="H8" s="5" t="n">
        <v>0</v>
      </c>
      <c r="I8" s="9" t="n">
        <v>0.5866394399066511</v>
      </c>
      <c r="J8" s="5" t="n">
        <v>0</v>
      </c>
      <c r="K8" s="9" t="n">
        <v>3106</v>
      </c>
      <c r="L8" s="7" t="n">
        <v>0.75</v>
      </c>
      <c r="M8" s="9" t="n">
        <v>30.59145740232785</v>
      </c>
      <c r="N8" s="7" t="n">
        <v>1</v>
      </c>
      <c r="O8" s="9" t="n">
        <v>6.932744476678732</v>
      </c>
      <c r="P8" s="5" t="n">
        <v>0</v>
      </c>
      <c r="Q8" s="9" t="n">
        <v>30.39187954400138</v>
      </c>
      <c r="R8" s="7" t="n">
        <v>1</v>
      </c>
      <c r="S8" s="9" t="n">
        <v>9.926553672316384</v>
      </c>
      <c r="T8" s="5" t="n">
        <v>0</v>
      </c>
      <c r="U8" s="9" t="n">
        <v>0.7396070320579111</v>
      </c>
      <c r="V8" s="7" t="n">
        <v>0.75</v>
      </c>
    </row>
    <row r="10">
      <c r="A10" s="10" t="inlineStr">
        <is>
          <t>Peer Group Median</t>
        </is>
      </c>
      <c r="B10" s="10" t="inlineStr"/>
      <c r="C10" s="11">
        <f>MEDIAN(C4:C8)</f>
        <v/>
      </c>
      <c r="D10" s="10" t="n"/>
      <c r="E10" s="11">
        <f>MEDIAN(E4:E8)</f>
        <v/>
      </c>
      <c r="F10" s="10" t="n"/>
      <c r="G10" s="11">
        <f>MEDIAN(G4:G8)</f>
        <v/>
      </c>
      <c r="H10" s="10" t="n"/>
      <c r="I10" s="11">
        <f>MEDIAN(I4:I8)</f>
        <v/>
      </c>
      <c r="J10" s="10" t="n"/>
      <c r="K10" s="11">
        <f>MEDIAN(K4:K8)</f>
        <v/>
      </c>
      <c r="L10" s="10" t="n"/>
      <c r="M10" s="11">
        <f>MEDIAN(M4:M8)</f>
        <v/>
      </c>
      <c r="N10" s="10" t="n"/>
      <c r="O10" s="11">
        <f>MEDIAN(O4:O8)</f>
        <v/>
      </c>
      <c r="P10" s="10" t="n"/>
      <c r="Q10" s="11">
        <f>MEDIAN(Q4:Q8)</f>
        <v/>
      </c>
      <c r="R10" s="10" t="n"/>
      <c r="S10" s="11">
        <f>MEDIAN(S4:S8)</f>
        <v/>
      </c>
      <c r="T10" s="10" t="n"/>
      <c r="U10" s="11">
        <f>MEDIAN(U4:U8)</f>
        <v/>
      </c>
      <c r="V10" s="10" t="n"/>
    </row>
  </sheetData>
  <autoFilter ref="A3:V8"/>
  <mergeCells count="1"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Power &amp; Utilities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NTPC</t>
        </is>
      </c>
      <c r="B4" s="3" t="inlineStr">
        <is>
          <t>NTPC Ltd</t>
        </is>
      </c>
      <c r="C4" s="4" t="n">
        <v>13.27359840706863</v>
      </c>
      <c r="D4" s="6" t="n">
        <v>0.6666666666666666</v>
      </c>
      <c r="E4" s="4" t="n">
        <v>12.93381024077458</v>
      </c>
      <c r="F4" s="6" t="n">
        <v>0.6666666666666666</v>
      </c>
      <c r="G4" s="4" t="n">
        <v>11.95063332978527</v>
      </c>
      <c r="H4" s="5" t="n">
        <v>0.1666666666666667</v>
      </c>
      <c r="I4" s="4" t="n">
        <v>1.475521125007778</v>
      </c>
      <c r="J4" s="6" t="n">
        <v>0.5</v>
      </c>
      <c r="K4" s="4" t="n">
        <v>8644</v>
      </c>
      <c r="L4" s="6" t="n">
        <v>0.6666666666666666</v>
      </c>
      <c r="M4" s="4" t="n">
        <v>8.735165684951163</v>
      </c>
      <c r="N4" s="5" t="n">
        <v>0.25</v>
      </c>
      <c r="O4" s="4" t="n">
        <v>12.22230965433799</v>
      </c>
      <c r="P4" s="6" t="n">
        <v>0.5</v>
      </c>
      <c r="Q4" s="4" t="n">
        <v>8.447177119769854</v>
      </c>
      <c r="R4" s="6" t="n">
        <v>0.5</v>
      </c>
      <c r="S4" s="4" t="n">
        <v>4.604991464108609</v>
      </c>
      <c r="T4" s="6" t="n">
        <v>0.6666666666666666</v>
      </c>
      <c r="U4" s="4" t="n">
        <v>0.3724372910920176</v>
      </c>
      <c r="V4" s="6" t="n">
        <v>0.6666666666666666</v>
      </c>
    </row>
    <row r="5">
      <c r="A5" s="8" t="inlineStr">
        <is>
          <t>ADANIGREEN</t>
        </is>
      </c>
      <c r="B5" s="8" t="inlineStr">
        <is>
          <t>Adani Green Energy Ltd</t>
        </is>
      </c>
      <c r="C5" s="9" t="n">
        <v>12.81269066503966</v>
      </c>
      <c r="D5" s="6" t="n">
        <v>0.3333333333333333</v>
      </c>
      <c r="E5" s="9" t="n">
        <v>9.797568682054303</v>
      </c>
      <c r="F5" s="5" t="n">
        <v>0.1666666666666667</v>
      </c>
      <c r="G5" s="9" t="n">
        <v>13.66594360086768</v>
      </c>
      <c r="H5" s="6" t="n">
        <v>0.3333333333333333</v>
      </c>
      <c r="I5" s="9" t="n">
        <v>6.595281675818589</v>
      </c>
      <c r="J5" s="5" t="n">
        <v>0</v>
      </c>
      <c r="K5" s="9" t="n">
        <v>-13347</v>
      </c>
      <c r="L5" s="5" t="n">
        <v>0</v>
      </c>
      <c r="M5" s="9" t="n"/>
      <c r="N5" s="8" t="n"/>
      <c r="O5" s="9" t="n">
        <v>34.97617292638284</v>
      </c>
      <c r="P5" s="7" t="n">
        <v>1</v>
      </c>
      <c r="Q5" s="9" t="n"/>
      <c r="R5" s="8" t="n"/>
      <c r="S5" s="9" t="n">
        <v>1.713943268078306</v>
      </c>
      <c r="T5" s="5" t="n">
        <v>0</v>
      </c>
      <c r="U5" s="9" t="n">
        <v>0.1046704357105556</v>
      </c>
      <c r="V5" s="5" t="n">
        <v>0.1666666666666667</v>
      </c>
    </row>
    <row r="6">
      <c r="A6" s="8" t="inlineStr">
        <is>
          <t>ADANIPOWER</t>
        </is>
      </c>
      <c r="B6" s="8" t="inlineStr">
        <is>
          <t>Adani Power Ltd</t>
        </is>
      </c>
      <c r="C6" s="9" t="n">
        <v>48.27674122146251</v>
      </c>
      <c r="D6" s="7" t="n">
        <v>1</v>
      </c>
      <c r="E6" s="9" t="n">
        <v>23.44105657077455</v>
      </c>
      <c r="F6" s="7" t="n">
        <v>1</v>
      </c>
      <c r="G6" s="9" t="n">
        <v>41.36759945184802</v>
      </c>
      <c r="H6" s="7" t="n">
        <v>0.8333333333333334</v>
      </c>
      <c r="I6" s="9" t="n">
        <v>0.8023177656738903</v>
      </c>
      <c r="J6" s="7" t="n">
        <v>1</v>
      </c>
      <c r="K6" s="9" t="n">
        <v>17651</v>
      </c>
      <c r="L6" s="7" t="n">
        <v>0.8333333333333334</v>
      </c>
      <c r="M6" s="9" t="n"/>
      <c r="N6" s="8" t="n"/>
      <c r="O6" s="9" t="n">
        <v>16.08609641044097</v>
      </c>
      <c r="P6" s="7" t="n">
        <v>0.8333333333333334</v>
      </c>
      <c r="Q6" s="9" t="n"/>
      <c r="R6" s="8" t="n"/>
      <c r="S6" s="9" t="n">
        <v>8.297225501770956</v>
      </c>
      <c r="T6" s="7" t="n">
        <v>0.8333333333333334</v>
      </c>
      <c r="U6" s="9" t="n">
        <v>0.5472399439185297</v>
      </c>
      <c r="V6" s="7" t="n">
        <v>1</v>
      </c>
    </row>
    <row r="7">
      <c r="A7" s="8" t="inlineStr">
        <is>
          <t>JSWENERGY</t>
        </is>
      </c>
      <c r="B7" s="8" t="inlineStr">
        <is>
          <t>JSW Energy Ltd</t>
        </is>
      </c>
      <c r="C7" s="9" t="n">
        <v>8.280529953917052</v>
      </c>
      <c r="D7" s="5" t="n">
        <v>0</v>
      </c>
      <c r="E7" s="9" t="n">
        <v>10.27001240339662</v>
      </c>
      <c r="F7" s="6" t="n">
        <v>0.3333333333333333</v>
      </c>
      <c r="G7" s="9" t="n">
        <v>15.01828312728539</v>
      </c>
      <c r="H7" s="6" t="n">
        <v>0.5</v>
      </c>
      <c r="I7" s="9" t="n">
        <v>1.515600998463902</v>
      </c>
      <c r="J7" s="6" t="n">
        <v>0.3333333333333334</v>
      </c>
      <c r="K7" s="9" t="n">
        <v>-1963</v>
      </c>
      <c r="L7" s="5" t="n">
        <v>0.1666666666666667</v>
      </c>
      <c r="M7" s="9" t="n">
        <v>20.32243146979456</v>
      </c>
      <c r="N7" s="7" t="n">
        <v>1</v>
      </c>
      <c r="O7" s="9" t="n">
        <v>4.679956053916468</v>
      </c>
      <c r="P7" s="5" t="n">
        <v>0.1666666666666667</v>
      </c>
      <c r="Q7" s="9" t="n">
        <v>20.11244339814313</v>
      </c>
      <c r="R7" s="7" t="n">
        <v>1</v>
      </c>
      <c r="S7" s="9" t="n">
        <v>2.851436921578178</v>
      </c>
      <c r="T7" s="5" t="n">
        <v>0.1666666666666667</v>
      </c>
      <c r="U7" s="9" t="n">
        <v>0.1988332438935725</v>
      </c>
      <c r="V7" s="6" t="n">
        <v>0.5</v>
      </c>
    </row>
    <row r="8">
      <c r="A8" s="8" t="inlineStr">
        <is>
          <t>NHPC</t>
        </is>
      </c>
      <c r="B8" s="8" t="inlineStr">
        <is>
          <t xml:space="preserve">NHPC Ltd
</t>
        </is>
      </c>
      <c r="C8" s="9" t="n">
        <v>10.40773086662188</v>
      </c>
      <c r="D8" s="5" t="n">
        <v>0.1666666666666667</v>
      </c>
      <c r="E8" s="9" t="n">
        <v>6.745435920463634</v>
      </c>
      <c r="F8" s="5" t="n">
        <v>0</v>
      </c>
      <c r="G8" s="9" t="n">
        <v>41.81893687707641</v>
      </c>
      <c r="H8" s="7" t="n">
        <v>1</v>
      </c>
      <c r="I8" s="9" t="n">
        <v>0.8413260296625498</v>
      </c>
      <c r="J8" s="7" t="n">
        <v>0.8333333333333334</v>
      </c>
      <c r="K8" s="9" t="n">
        <v>970</v>
      </c>
      <c r="L8" s="6" t="n">
        <v>0.3333333333333333</v>
      </c>
      <c r="M8" s="9" t="n">
        <v>7.269596517101484</v>
      </c>
      <c r="N8" s="5" t="n">
        <v>0</v>
      </c>
      <c r="O8" s="9" t="n">
        <v>1.404917217643753</v>
      </c>
      <c r="P8" s="5" t="n">
        <v>0</v>
      </c>
      <c r="Q8" s="9" t="n">
        <v>5.922384104881218</v>
      </c>
      <c r="R8" s="5" t="n">
        <v>0</v>
      </c>
      <c r="S8" s="9" t="n">
        <v>11.24342105263158</v>
      </c>
      <c r="T8" s="7" t="n">
        <v>1</v>
      </c>
      <c r="U8" s="9" t="n">
        <v>0.1032401899310803</v>
      </c>
      <c r="V8" s="5" t="n">
        <v>0</v>
      </c>
    </row>
    <row r="9">
      <c r="A9" s="8" t="inlineStr">
        <is>
          <t>POWERGRID</t>
        </is>
      </c>
      <c r="B9" s="8" t="inlineStr">
        <is>
          <t>Power Grid Corporation of India Ltd</t>
        </is>
      </c>
      <c r="C9" s="9" t="n">
        <v>17.87001124549607</v>
      </c>
      <c r="D9" s="7" t="n">
        <v>0.8333333333333334</v>
      </c>
      <c r="E9" s="9" t="n">
        <v>18.90516562075742</v>
      </c>
      <c r="F9" s="7" t="n">
        <v>0.8333333333333334</v>
      </c>
      <c r="G9" s="9" t="n">
        <v>33.97028990249329</v>
      </c>
      <c r="H9" s="6" t="n">
        <v>0.6666666666666666</v>
      </c>
      <c r="I9" s="9" t="n">
        <v>1.417345603929039</v>
      </c>
      <c r="J9" s="6" t="n">
        <v>0.6666666666666667</v>
      </c>
      <c r="K9" s="9" t="n">
        <v>24176</v>
      </c>
      <c r="L9" s="7" t="n">
        <v>1</v>
      </c>
      <c r="M9" s="9" t="n">
        <v>9.189188268434778</v>
      </c>
      <c r="N9" s="6" t="n">
        <v>0.5</v>
      </c>
      <c r="O9" s="9" t="n">
        <v>5.510261937513361</v>
      </c>
      <c r="P9" s="6" t="n">
        <v>0.3333333333333333</v>
      </c>
      <c r="Q9" s="9" t="n">
        <v>9.096607850144967</v>
      </c>
      <c r="R9" s="7" t="n">
        <v>0.75</v>
      </c>
      <c r="S9" s="9" t="n">
        <v>4.60298643565485</v>
      </c>
      <c r="T9" s="6" t="n">
        <v>0.5</v>
      </c>
      <c r="U9" s="9" t="n">
        <v>0.1827659481160472</v>
      </c>
      <c r="V9" s="6" t="n">
        <v>0.3333333333333333</v>
      </c>
    </row>
    <row r="10">
      <c r="A10" s="8" t="inlineStr">
        <is>
          <t>TATAPOWER</t>
        </is>
      </c>
      <c r="B10" s="8" t="inlineStr">
        <is>
          <t xml:space="preserve">Tata Power Company Ltd
</t>
        </is>
      </c>
      <c r="C10" s="9" t="n">
        <v>13.22784027691927</v>
      </c>
      <c r="D10" s="6" t="n">
        <v>0.5</v>
      </c>
      <c r="E10" s="9" t="n">
        <v>12.47602998431054</v>
      </c>
      <c r="F10" s="6" t="n">
        <v>0.5</v>
      </c>
      <c r="G10" s="9" t="n">
        <v>6.965125551270159</v>
      </c>
      <c r="H10" s="5" t="n">
        <v>0</v>
      </c>
      <c r="I10" s="9" t="n">
        <v>1.659321300531586</v>
      </c>
      <c r="J10" s="5" t="n">
        <v>0.1666666666666666</v>
      </c>
      <c r="K10" s="9" t="n">
        <v>3569</v>
      </c>
      <c r="L10" s="6" t="n">
        <v>0.5</v>
      </c>
      <c r="M10" s="9" t="n">
        <v>10.431728917459</v>
      </c>
      <c r="N10" s="7" t="n">
        <v>0.75</v>
      </c>
      <c r="O10" s="9" t="n">
        <v>15.51115820187641</v>
      </c>
      <c r="P10" s="6" t="n">
        <v>0.6666666666666666</v>
      </c>
      <c r="Q10" s="9" t="n">
        <v>5.922384104881218</v>
      </c>
      <c r="R10" s="5" t="n">
        <v>0</v>
      </c>
      <c r="S10" s="9" t="n">
        <v>3.054392402331103</v>
      </c>
      <c r="T10" s="6" t="n">
        <v>0.3333333333333333</v>
      </c>
      <c r="U10" s="9" t="n">
        <v>0.4419074604110633</v>
      </c>
      <c r="V10" s="7" t="n">
        <v>0.8333333333333334</v>
      </c>
    </row>
    <row r="12">
      <c r="A12" s="10" t="inlineStr">
        <is>
          <t>Peer Group Median</t>
        </is>
      </c>
      <c r="B12" s="10" t="inlineStr"/>
      <c r="C12" s="11">
        <f>MEDIAN(C4:C10)</f>
        <v/>
      </c>
      <c r="D12" s="10" t="n"/>
      <c r="E12" s="11">
        <f>MEDIAN(E4:E10)</f>
        <v/>
      </c>
      <c r="F12" s="10" t="n"/>
      <c r="G12" s="11">
        <f>MEDIAN(G4:G10)</f>
        <v/>
      </c>
      <c r="H12" s="10" t="n"/>
      <c r="I12" s="11">
        <f>MEDIAN(I4:I10)</f>
        <v/>
      </c>
      <c r="J12" s="10" t="n"/>
      <c r="K12" s="11">
        <f>MEDIAN(K4:K10)</f>
        <v/>
      </c>
      <c r="L12" s="10" t="n"/>
      <c r="M12" s="11">
        <f>MEDIAN(M4:M10)</f>
        <v/>
      </c>
      <c r="N12" s="10" t="n"/>
      <c r="O12" s="11">
        <f>MEDIAN(O4:O10)</f>
        <v/>
      </c>
      <c r="P12" s="10" t="n"/>
      <c r="Q12" s="11">
        <f>MEDIAN(Q4:Q10)</f>
        <v/>
      </c>
      <c r="R12" s="10" t="n"/>
      <c r="S12" s="11">
        <f>MEDIAN(S4:S10)</f>
        <v/>
      </c>
      <c r="T12" s="10" t="n"/>
      <c r="U12" s="11">
        <f>MEDIAN(U4:U10)</f>
        <v/>
      </c>
      <c r="V12" s="10" t="n"/>
    </row>
  </sheetData>
  <autoFilter ref="A3:V10"/>
  <mergeCells count="1">
    <mergeCell ref="A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Private Banks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HDFCBANK</t>
        </is>
      </c>
      <c r="B4" s="3" t="inlineStr">
        <is>
          <t>HDFC Bank Ltd</t>
        </is>
      </c>
      <c r="C4" s="4" t="n">
        <v>14.33974005030719</v>
      </c>
      <c r="D4" s="6" t="n">
        <v>0.5</v>
      </c>
      <c r="E4" s="4" t="n">
        <v>4.887792835880029</v>
      </c>
      <c r="F4" s="6" t="n">
        <v>0.5</v>
      </c>
      <c r="G4" s="4" t="n">
        <v>23.07288232992184</v>
      </c>
      <c r="H4" s="6" t="n">
        <v>0.5</v>
      </c>
      <c r="I4" s="4" t="n">
        <v>6.808786667718385</v>
      </c>
      <c r="J4" s="6" t="n">
        <v>0.5</v>
      </c>
      <c r="K4" s="4" t="n">
        <v>35669</v>
      </c>
      <c r="L4" s="7" t="n">
        <v>1</v>
      </c>
      <c r="M4" s="4" t="n">
        <v>23.86506357287907</v>
      </c>
      <c r="N4" s="6" t="n">
        <v>0.5</v>
      </c>
      <c r="O4" s="4" t="n">
        <v>21.95098428169122</v>
      </c>
      <c r="P4" s="7" t="n">
        <v>1</v>
      </c>
      <c r="Q4" s="4" t="n">
        <v>15.42478808253083</v>
      </c>
      <c r="R4" s="5" t="n">
        <v>0</v>
      </c>
      <c r="S4" s="4" t="n">
        <v>1.400768822479211</v>
      </c>
      <c r="T4" s="6" t="n">
        <v>0.5</v>
      </c>
      <c r="U4" s="4" t="n">
        <v>0.07038097917866981</v>
      </c>
      <c r="V4" s="5" t="n">
        <v>0.25</v>
      </c>
    </row>
    <row r="5">
      <c r="A5" s="8" t="inlineStr">
        <is>
          <t>AXISBANK</t>
        </is>
      </c>
      <c r="B5" s="8" t="inlineStr">
        <is>
          <t>Axis Bank Ltd</t>
        </is>
      </c>
      <c r="C5" s="9" t="n">
        <v>15.83271240518905</v>
      </c>
      <c r="D5" s="7" t="n">
        <v>0.75</v>
      </c>
      <c r="E5" s="9" t="n">
        <v>2.612569500628303</v>
      </c>
      <c r="F5" s="5" t="n">
        <v>0</v>
      </c>
      <c r="G5" s="9" t="n">
        <v>22.73130411725443</v>
      </c>
      <c r="H5" s="5" t="n">
        <v>0.25</v>
      </c>
      <c r="I5" s="9" t="n">
        <v>8.249122739980766</v>
      </c>
      <c r="J5" s="5" t="n">
        <v>0</v>
      </c>
      <c r="K5" s="9" t="n">
        <v>-14556</v>
      </c>
      <c r="L5" s="5" t="n">
        <v>0.25</v>
      </c>
      <c r="M5" s="9" t="n">
        <v>39.67228711897934</v>
      </c>
      <c r="N5" s="7" t="n">
        <v>0.75</v>
      </c>
      <c r="O5" s="9" t="n">
        <v>14.74358712051438</v>
      </c>
      <c r="P5" s="5" t="n">
        <v>0.25</v>
      </c>
      <c r="Q5" s="9" t="n">
        <v>35.09600385206135</v>
      </c>
      <c r="R5" s="7" t="n">
        <v>0.75</v>
      </c>
      <c r="S5" s="9" t="n">
        <v>1.691203992514036</v>
      </c>
      <c r="T5" s="7" t="n">
        <v>0.75</v>
      </c>
      <c r="U5" s="9" t="n">
        <v>0.0720367478374617</v>
      </c>
      <c r="V5" s="6" t="n">
        <v>0.5</v>
      </c>
    </row>
    <row r="6">
      <c r="A6" s="8" t="inlineStr">
        <is>
          <t>ICICIBANK</t>
        </is>
      </c>
      <c r="B6" s="8" t="inlineStr">
        <is>
          <t>ICICI Bank Ltd</t>
        </is>
      </c>
      <c r="C6" s="9" t="n">
        <v>17.99027109750765</v>
      </c>
      <c r="D6" s="7" t="n">
        <v>1</v>
      </c>
      <c r="E6" s="9" t="n">
        <v>5.220349505440574</v>
      </c>
      <c r="F6" s="7" t="n">
        <v>0.75</v>
      </c>
      <c r="G6" s="9" t="n">
        <v>28.8880112339828</v>
      </c>
      <c r="H6" s="7" t="n">
        <v>0.75</v>
      </c>
      <c r="I6" s="9" t="n">
        <v>6.445624336310825</v>
      </c>
      <c r="J6" s="7" t="n">
        <v>0.75</v>
      </c>
      <c r="K6" s="9" t="n">
        <v>12547</v>
      </c>
      <c r="L6" s="7" t="n">
        <v>0.75</v>
      </c>
      <c r="M6" s="9" t="n">
        <v>51.94877118224903</v>
      </c>
      <c r="N6" s="7" t="n">
        <v>1</v>
      </c>
      <c r="O6" s="9" t="n">
        <v>17.25086850260209</v>
      </c>
      <c r="P6" s="7" t="n">
        <v>0.75</v>
      </c>
      <c r="Q6" s="9" t="n">
        <v>55.18455739153598</v>
      </c>
      <c r="R6" s="7" t="n">
        <v>1</v>
      </c>
      <c r="S6" s="9" t="n">
        <v>1.300946133138182</v>
      </c>
      <c r="T6" s="5" t="n">
        <v>0.25</v>
      </c>
      <c r="U6" s="9" t="n">
        <v>0.06747535915921023</v>
      </c>
      <c r="V6" s="5" t="n">
        <v>0</v>
      </c>
    </row>
    <row r="7">
      <c r="A7" s="8" t="inlineStr">
        <is>
          <t>INDUSINDBK</t>
        </is>
      </c>
      <c r="B7" s="8" t="inlineStr">
        <is>
          <t>IndusInd Bank Ltd</t>
        </is>
      </c>
      <c r="C7" s="9" t="n">
        <v>14.25227319776422</v>
      </c>
      <c r="D7" s="5" t="n">
        <v>0.25</v>
      </c>
      <c r="E7" s="9" t="n">
        <v>3.561786022241473</v>
      </c>
      <c r="F7" s="5" t="n">
        <v>0.25</v>
      </c>
      <c r="G7" s="9" t="n">
        <v>19.56369677362945</v>
      </c>
      <c r="H7" s="5" t="n">
        <v>0</v>
      </c>
      <c r="I7" s="9" t="n">
        <v>6.885742949503957</v>
      </c>
      <c r="J7" s="5" t="n">
        <v>0.25</v>
      </c>
      <c r="K7" s="9" t="n">
        <v>-17468</v>
      </c>
      <c r="L7" s="5" t="n">
        <v>0</v>
      </c>
      <c r="M7" s="9" t="n">
        <v>22.07746495394836</v>
      </c>
      <c r="N7" s="5" t="n">
        <v>0.25</v>
      </c>
      <c r="O7" s="9" t="n">
        <v>15.49561308335803</v>
      </c>
      <c r="P7" s="6" t="n">
        <v>0.5</v>
      </c>
      <c r="Q7" s="9" t="n">
        <v>15.89562187541786</v>
      </c>
      <c r="R7" s="5" t="n">
        <v>0.25</v>
      </c>
      <c r="S7" s="9" t="n">
        <v>1.879527055815935</v>
      </c>
      <c r="T7" s="7" t="n">
        <v>1</v>
      </c>
      <c r="U7" s="9" t="n">
        <v>0.08884228106460039</v>
      </c>
      <c r="V7" s="7" t="n">
        <v>1</v>
      </c>
    </row>
    <row r="8">
      <c r="A8" s="8" t="inlineStr">
        <is>
          <t>KOTAKBANK</t>
        </is>
      </c>
      <c r="B8" s="8" t="inlineStr">
        <is>
          <t xml:space="preserve">Kotak Mahindra Bank Ltd
</t>
        </is>
      </c>
      <c r="C8" s="9" t="n">
        <v>14.01301818853291</v>
      </c>
      <c r="D8" s="5" t="n">
        <v>0</v>
      </c>
      <c r="E8" s="9" t="n">
        <v>7.234918028249577</v>
      </c>
      <c r="F8" s="7" t="n">
        <v>1</v>
      </c>
      <c r="G8" s="9" t="n">
        <v>32.38615146611662</v>
      </c>
      <c r="H8" s="7" t="n">
        <v>1</v>
      </c>
      <c r="I8" s="9" t="n">
        <v>4.003739266919029</v>
      </c>
      <c r="J8" s="7" t="n">
        <v>1</v>
      </c>
      <c r="K8" s="9" t="n">
        <v>6766</v>
      </c>
      <c r="L8" s="6" t="n">
        <v>0.5</v>
      </c>
      <c r="M8" s="9" t="n">
        <v>20.38200065626572</v>
      </c>
      <c r="N8" s="5" t="n">
        <v>0</v>
      </c>
      <c r="O8" s="9" t="n">
        <v>13.51960376324537</v>
      </c>
      <c r="P8" s="5" t="n">
        <v>0</v>
      </c>
      <c r="Q8" s="9" t="n">
        <v>19.34407044160125</v>
      </c>
      <c r="R8" s="6" t="n">
        <v>0.5</v>
      </c>
      <c r="S8" s="9" t="n">
        <v>1.236375108447038</v>
      </c>
      <c r="T8" s="5" t="n">
        <v>0</v>
      </c>
      <c r="U8" s="9" t="n">
        <v>0.07325702420450533</v>
      </c>
      <c r="V8" s="7" t="n">
        <v>0.75</v>
      </c>
    </row>
    <row r="10">
      <c r="A10" s="10" t="inlineStr">
        <is>
          <t>Peer Group Median</t>
        </is>
      </c>
      <c r="B10" s="10" t="inlineStr"/>
      <c r="C10" s="11">
        <f>MEDIAN(C4:C8)</f>
        <v/>
      </c>
      <c r="D10" s="10" t="n"/>
      <c r="E10" s="11">
        <f>MEDIAN(E4:E8)</f>
        <v/>
      </c>
      <c r="F10" s="10" t="n"/>
      <c r="G10" s="11">
        <f>MEDIAN(G4:G8)</f>
        <v/>
      </c>
      <c r="H10" s="10" t="n"/>
      <c r="I10" s="11">
        <f>MEDIAN(I4:I8)</f>
        <v/>
      </c>
      <c r="J10" s="10" t="n"/>
      <c r="K10" s="11">
        <f>MEDIAN(K4:K8)</f>
        <v/>
      </c>
      <c r="L10" s="10" t="n"/>
      <c r="M10" s="11">
        <f>MEDIAN(M4:M8)</f>
        <v/>
      </c>
      <c r="N10" s="10" t="n"/>
      <c r="O10" s="11">
        <f>MEDIAN(O4:O8)</f>
        <v/>
      </c>
      <c r="P10" s="10" t="n"/>
      <c r="Q10" s="11">
        <f>MEDIAN(Q4:Q8)</f>
        <v/>
      </c>
      <c r="R10" s="10" t="n"/>
      <c r="S10" s="11">
        <f>MEDIAN(S4:S8)</f>
        <v/>
      </c>
      <c r="T10" s="10" t="n"/>
      <c r="U10" s="11">
        <f>MEDIAN(U4:U8)</f>
        <v/>
      </c>
      <c r="V10" s="10" t="n"/>
    </row>
  </sheetData>
  <autoFilter ref="A3:V8"/>
  <mergeCells count="1">
    <mergeCell ref="A1:V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Public Sector Banks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SBIN</t>
        </is>
      </c>
      <c r="B4" s="3" t="inlineStr">
        <is>
          <t>State Bank of India</t>
        </is>
      </c>
      <c r="C4" s="4" t="n"/>
      <c r="D4" s="8" t="n"/>
      <c r="E4" s="4" t="n"/>
      <c r="F4" s="8" t="n"/>
      <c r="G4" s="4" t="n">
        <v>15.83441297482405</v>
      </c>
      <c r="H4" s="6" t="n">
        <v>0.6666666666666666</v>
      </c>
      <c r="I4" s="4" t="n"/>
      <c r="J4" s="8" t="n"/>
      <c r="K4" s="4" t="n">
        <v>18156</v>
      </c>
      <c r="L4" s="7" t="n">
        <v>1</v>
      </c>
      <c r="M4" s="4" t="n">
        <v>83.40695423292949</v>
      </c>
      <c r="N4" s="6" t="n">
        <v>0.5</v>
      </c>
      <c r="O4" s="4" t="n">
        <v>11.63380022632805</v>
      </c>
      <c r="P4" s="5" t="n">
        <v>0</v>
      </c>
      <c r="Q4" s="4" t="n">
        <v>90.36539387158786</v>
      </c>
      <c r="R4" s="7" t="n">
        <v>1</v>
      </c>
      <c r="S4" s="4" t="n">
        <v>0.3660986540179259</v>
      </c>
      <c r="T4" s="5" t="n">
        <v>0</v>
      </c>
      <c r="U4" s="4" t="n"/>
      <c r="V4" s="8" t="n"/>
    </row>
    <row r="5">
      <c r="A5" s="8" t="inlineStr">
        <is>
          <t>BANKBARODA</t>
        </is>
      </c>
      <c r="B5" s="8" t="inlineStr">
        <is>
          <t>Bank of Baroda</t>
        </is>
      </c>
      <c r="C5" s="9" t="n">
        <v>15.7618637908999</v>
      </c>
      <c r="D5" s="5" t="n">
        <v>0</v>
      </c>
      <c r="E5" s="9" t="n">
        <v>2.820446985460198</v>
      </c>
      <c r="F5" s="5" t="n">
        <v>0</v>
      </c>
      <c r="G5" s="9" t="n">
        <v>15.93948250956673</v>
      </c>
      <c r="H5" s="7" t="n">
        <v>1</v>
      </c>
      <c r="I5" s="9" t="n">
        <v>12.14371872728943</v>
      </c>
      <c r="J5" s="6" t="n">
        <v>0.5</v>
      </c>
      <c r="K5" s="9" t="n">
        <v>-7559</v>
      </c>
      <c r="L5" s="6" t="n">
        <v>0.3333333333333333</v>
      </c>
      <c r="M5" s="9" t="n">
        <v>74.50588066551305</v>
      </c>
      <c r="N5" s="5" t="n">
        <v>0</v>
      </c>
      <c r="O5" s="9" t="n">
        <v>17.47729766589094</v>
      </c>
      <c r="P5" s="6" t="n">
        <v>0.6666666666666666</v>
      </c>
      <c r="Q5" s="9" t="n">
        <v>55.18455739153598</v>
      </c>
      <c r="R5" s="6" t="n">
        <v>0.5</v>
      </c>
      <c r="S5" s="9" t="n">
        <v>1.896747724261721</v>
      </c>
      <c r="T5" s="7" t="n">
        <v>1</v>
      </c>
      <c r="U5" s="9" t="n">
        <v>0.07153782236255685</v>
      </c>
      <c r="V5" s="5" t="n">
        <v>0</v>
      </c>
    </row>
    <row r="6">
      <c r="A6" s="8" t="inlineStr">
        <is>
          <t>CANBK</t>
        </is>
      </c>
      <c r="B6" s="8" t="inlineStr">
        <is>
          <t>Canara Bank</t>
        </is>
      </c>
      <c r="C6" s="9" t="n">
        <v>16.71605179468811</v>
      </c>
      <c r="D6" s="6" t="n">
        <v>0.5</v>
      </c>
      <c r="E6" s="9" t="n">
        <v>3.15654898752525</v>
      </c>
      <c r="F6" s="7" t="n">
        <v>1</v>
      </c>
      <c r="G6" s="9" t="n">
        <v>13.93516047014541</v>
      </c>
      <c r="H6" s="6" t="n">
        <v>0.3333333333333333</v>
      </c>
      <c r="I6" s="9" t="n">
        <v>14.86741992554242</v>
      </c>
      <c r="J6" s="5" t="n">
        <v>0</v>
      </c>
      <c r="K6" s="9" t="n">
        <v>13296</v>
      </c>
      <c r="L6" s="6" t="n">
        <v>0.6666666666666666</v>
      </c>
      <c r="M6" s="9" t="n">
        <v>85.7752850068174</v>
      </c>
      <c r="N6" s="7" t="n">
        <v>1</v>
      </c>
      <c r="O6" s="9" t="n">
        <v>18.17561078322378</v>
      </c>
      <c r="P6" s="7" t="n">
        <v>1</v>
      </c>
      <c r="Q6" s="9" t="n">
        <v>53.4206382524911</v>
      </c>
      <c r="R6" s="5" t="n">
        <v>0</v>
      </c>
      <c r="S6" s="9" t="n">
        <v>1.610661174334986</v>
      </c>
      <c r="T6" s="6" t="n">
        <v>0.5</v>
      </c>
      <c r="U6" s="9" t="n">
        <v>0.0719985042520674</v>
      </c>
      <c r="V6" s="6" t="n">
        <v>0.5</v>
      </c>
    </row>
    <row r="7">
      <c r="A7" s="8" t="inlineStr">
        <is>
          <t>PNB</t>
        </is>
      </c>
      <c r="B7" s="8" t="inlineStr">
        <is>
          <t>Punjab National Bank</t>
        </is>
      </c>
      <c r="C7" s="9" t="n">
        <v>61.32056519118731</v>
      </c>
      <c r="D7" s="7" t="n">
        <v>1</v>
      </c>
      <c r="E7" s="9" t="n"/>
      <c r="F7" s="8" t="n"/>
      <c r="G7" s="9" t="n">
        <v>8.395910695456838</v>
      </c>
      <c r="H7" s="5" t="n">
        <v>0</v>
      </c>
      <c r="I7" s="9" t="n">
        <v>3.684256345007701</v>
      </c>
      <c r="J7" s="7" t="n">
        <v>1</v>
      </c>
      <c r="K7" s="9" t="n">
        <v>-29445</v>
      </c>
      <c r="L7" s="5" t="n">
        <v>0</v>
      </c>
      <c r="M7" s="9" t="n"/>
      <c r="N7" s="8" t="n"/>
      <c r="O7" s="9" t="n">
        <v>15.90207600910603</v>
      </c>
      <c r="P7" s="6" t="n">
        <v>0.3333333333333333</v>
      </c>
      <c r="Q7" s="9" t="n"/>
      <c r="R7" s="8" t="n"/>
      <c r="S7" s="9" t="n"/>
      <c r="T7" s="8" t="n"/>
      <c r="U7" s="9" t="n">
        <v>1.50702629506294</v>
      </c>
      <c r="V7" s="7" t="n">
        <v>1</v>
      </c>
    </row>
    <row r="9">
      <c r="A9" s="10" t="inlineStr">
        <is>
          <t>Peer Group Median</t>
        </is>
      </c>
      <c r="B9" s="10" t="inlineStr"/>
      <c r="C9" s="11">
        <f>MEDIAN(C4:C7)</f>
        <v/>
      </c>
      <c r="D9" s="10" t="n"/>
      <c r="E9" s="11">
        <f>MEDIAN(E4:E7)</f>
        <v/>
      </c>
      <c r="F9" s="10" t="n"/>
      <c r="G9" s="11">
        <f>MEDIAN(G4:G7)</f>
        <v/>
      </c>
      <c r="H9" s="10" t="n"/>
      <c r="I9" s="11">
        <f>MEDIAN(I4:I7)</f>
        <v/>
      </c>
      <c r="J9" s="10" t="n"/>
      <c r="K9" s="11">
        <f>MEDIAN(K4:K7)</f>
        <v/>
      </c>
      <c r="L9" s="10" t="n"/>
      <c r="M9" s="11">
        <f>MEDIAN(M4:M7)</f>
        <v/>
      </c>
      <c r="N9" s="10" t="n"/>
      <c r="O9" s="11">
        <f>MEDIAN(O4:O7)</f>
        <v/>
      </c>
      <c r="P9" s="10" t="n"/>
      <c r="Q9" s="11">
        <f>MEDIAN(Q4:Q7)</f>
        <v/>
      </c>
      <c r="R9" s="10" t="n"/>
      <c r="S9" s="11">
        <f>MEDIAN(S4:S7)</f>
        <v/>
      </c>
      <c r="T9" s="10" t="n"/>
      <c r="U9" s="11">
        <f>MEDIAN(U4:U7)</f>
        <v/>
      </c>
      <c r="V9" s="10" t="n"/>
    </row>
  </sheetData>
  <autoFilter ref="A3:V7"/>
  <mergeCells count="1">
    <mergeCell ref="A1:V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</cols>
  <sheetData>
    <row r="1" ht="24" customHeight="1">
      <c r="A1" s="1" t="inlineStr">
        <is>
          <t>Steel Peer Comparison — 2024-03</t>
        </is>
      </c>
    </row>
    <row r="3" ht="32" customHeight="1">
      <c r="A3" s="2" t="inlineStr">
        <is>
          <t>company_id</t>
        </is>
      </c>
      <c r="B3" s="2" t="inlineStr">
        <is>
          <t>company_name</t>
        </is>
      </c>
      <c r="C3" s="2" t="inlineStr">
        <is>
          <t>ROE</t>
        </is>
      </c>
      <c r="D3" s="2" t="inlineStr">
        <is>
          <t>ROE Percentile</t>
        </is>
      </c>
      <c r="E3" s="2" t="inlineStr">
        <is>
          <t>ROCE</t>
        </is>
      </c>
      <c r="F3" s="2" t="inlineStr">
        <is>
          <t>ROCE Percentile</t>
        </is>
      </c>
      <c r="G3" s="2" t="inlineStr">
        <is>
          <t>Net Profit Margin</t>
        </is>
      </c>
      <c r="H3" s="2" t="inlineStr">
        <is>
          <t>Net Profit Margin Percentile</t>
        </is>
      </c>
      <c r="I3" s="2" t="inlineStr">
        <is>
          <t>D/E</t>
        </is>
      </c>
      <c r="J3" s="2" t="inlineStr">
        <is>
          <t>D/E Percentile</t>
        </is>
      </c>
      <c r="K3" s="2" t="inlineStr">
        <is>
          <t>FCF</t>
        </is>
      </c>
      <c r="L3" s="2" t="inlineStr">
        <is>
          <t>FCF Percentile</t>
        </is>
      </c>
      <c r="M3" s="2" t="inlineStr">
        <is>
          <t>PAT CAGR 5yr</t>
        </is>
      </c>
      <c r="N3" s="2" t="inlineStr">
        <is>
          <t>PAT CAGR 5yr Percentile</t>
        </is>
      </c>
      <c r="O3" s="2" t="inlineStr">
        <is>
          <t>Revenue CAGR 5yr</t>
        </is>
      </c>
      <c r="P3" s="2" t="inlineStr">
        <is>
          <t>Revenue CAGR 5yr Percentile</t>
        </is>
      </c>
      <c r="Q3" s="2" t="inlineStr">
        <is>
          <t>EPS CAGR 5yr</t>
        </is>
      </c>
      <c r="R3" s="2" t="inlineStr">
        <is>
          <t>EPS CAGR 5yr Percentile</t>
        </is>
      </c>
      <c r="S3" s="2" t="inlineStr">
        <is>
          <t>Interest Coverage</t>
        </is>
      </c>
      <c r="T3" s="2" t="inlineStr">
        <is>
          <t>Interest Coverage Percentile</t>
        </is>
      </c>
      <c r="U3" s="2" t="inlineStr">
        <is>
          <t>Asset Turnover</t>
        </is>
      </c>
      <c r="V3" s="2" t="inlineStr">
        <is>
          <t>Asset Turnover Percentile</t>
        </is>
      </c>
    </row>
    <row r="4">
      <c r="A4" s="3" t="inlineStr">
        <is>
          <t>TATASTEEL</t>
        </is>
      </c>
      <c r="B4" s="3" t="inlineStr">
        <is>
          <t xml:space="preserve">Tata Steel Ltd
</t>
        </is>
      </c>
      <c r="C4" s="4" t="n">
        <v>-5.334926929972293</v>
      </c>
      <c r="D4" s="5" t="n">
        <v>0</v>
      </c>
      <c r="E4" s="4" t="n">
        <v>12.42093156986774</v>
      </c>
      <c r="F4" s="5" t="n">
        <v>0</v>
      </c>
      <c r="G4" s="4" t="n">
        <v>-2.142504941724738</v>
      </c>
      <c r="H4" s="5" t="n">
        <v>0</v>
      </c>
      <c r="I4" s="4" t="n">
        <v>0.9461835171402184</v>
      </c>
      <c r="J4" s="6" t="n">
        <v>0.3333333333333334</v>
      </c>
      <c r="K4" s="4" t="n">
        <v>6048</v>
      </c>
      <c r="L4" s="6" t="n">
        <v>0.6666666666666666</v>
      </c>
      <c r="M4" s="4" t="n"/>
      <c r="N4" s="8" t="n"/>
      <c r="O4" s="4" t="n">
        <v>7.766224835881497</v>
      </c>
      <c r="P4" s="6" t="n">
        <v>0.3333333333333333</v>
      </c>
      <c r="Q4" s="4" t="n"/>
      <c r="R4" s="8" t="n"/>
      <c r="S4" s="4" t="n">
        <v>2.16342567927544</v>
      </c>
      <c r="T4" s="5" t="n">
        <v>0</v>
      </c>
      <c r="U4" s="4" t="n">
        <v>0.8509498277091255</v>
      </c>
      <c r="V4" s="6" t="n">
        <v>0.6666666666666666</v>
      </c>
    </row>
    <row r="5">
      <c r="A5" s="8" t="inlineStr">
        <is>
          <t>HINDALCO</t>
        </is>
      </c>
      <c r="B5" s="8" t="inlineStr">
        <is>
          <t>Hindalco Industries Ltd</t>
        </is>
      </c>
      <c r="C5" s="9" t="n">
        <v>9.567011474761177</v>
      </c>
      <c r="D5" s="6" t="n">
        <v>0.3333333333333333</v>
      </c>
      <c r="E5" s="9" t="n">
        <v>118.2077759042966</v>
      </c>
      <c r="F5" s="7" t="n">
        <v>1</v>
      </c>
      <c r="G5" s="9" t="n">
        <v>4.702216130615571</v>
      </c>
      <c r="H5" s="6" t="n">
        <v>0.3333333333333333</v>
      </c>
      <c r="I5" s="9" t="n">
        <v>0.5309290976579428</v>
      </c>
      <c r="J5" s="6" t="n">
        <v>0.6666666666666667</v>
      </c>
      <c r="K5" s="9" t="n">
        <v>9789</v>
      </c>
      <c r="L5" s="7" t="n">
        <v>1</v>
      </c>
      <c r="M5" s="9" t="n">
        <v>13.06871230695661</v>
      </c>
      <c r="N5" s="7" t="n">
        <v>1</v>
      </c>
      <c r="O5" s="9" t="n">
        <v>10.59243381898591</v>
      </c>
      <c r="P5" s="6" t="n">
        <v>0.6666666666666666</v>
      </c>
      <c r="Q5" s="9" t="n">
        <v>13.39665776330272</v>
      </c>
      <c r="R5" s="7" t="n">
        <v>1</v>
      </c>
      <c r="S5" s="9" t="n">
        <v>126.4654377880184</v>
      </c>
      <c r="T5" s="7" t="n">
        <v>1</v>
      </c>
      <c r="U5" s="9" t="n">
        <v>0.9360228499109322</v>
      </c>
      <c r="V5" s="7" t="n">
        <v>1</v>
      </c>
    </row>
    <row r="6">
      <c r="A6" s="8" t="inlineStr">
        <is>
          <t>JINDALSTEL</t>
        </is>
      </c>
      <c r="B6" s="8" t="inlineStr">
        <is>
          <t>Jindal Steel &amp; Power Ltd</t>
        </is>
      </c>
      <c r="C6" s="9" t="n">
        <v>13.4105063633902</v>
      </c>
      <c r="D6" s="7" t="n">
        <v>1</v>
      </c>
      <c r="E6" s="9" t="n">
        <v>16.78291768112127</v>
      </c>
      <c r="F6" s="6" t="n">
        <v>0.3333333333333333</v>
      </c>
      <c r="G6" s="9" t="n">
        <v>11.80243873376494</v>
      </c>
      <c r="H6" s="7" t="n">
        <v>1</v>
      </c>
      <c r="I6" s="9" t="n">
        <v>0.3716941962270963</v>
      </c>
      <c r="J6" s="7" t="n">
        <v>1</v>
      </c>
      <c r="K6" s="9" t="n">
        <v>-2336</v>
      </c>
      <c r="L6" s="6" t="n">
        <v>0.3333333333333333</v>
      </c>
      <c r="M6" s="9" t="n"/>
      <c r="N6" s="8" t="n"/>
      <c r="O6" s="9" t="n">
        <v>1.402831094774171</v>
      </c>
      <c r="P6" s="5" t="n">
        <v>0</v>
      </c>
      <c r="Q6" s="9" t="n"/>
      <c r="R6" s="8" t="n"/>
      <c r="S6" s="9" t="n">
        <v>8.004636785162287</v>
      </c>
      <c r="T6" s="6" t="n">
        <v>0.6666666666666666</v>
      </c>
      <c r="U6" s="9" t="n">
        <v>0.6400172860847018</v>
      </c>
      <c r="V6" s="5" t="n">
        <v>0</v>
      </c>
    </row>
    <row r="7">
      <c r="A7" s="8" t="inlineStr">
        <is>
          <t>JSWSTEEL</t>
        </is>
      </c>
      <c r="B7" s="8" t="inlineStr">
        <is>
          <t>JSW Steel Ltd</t>
        </is>
      </c>
      <c r="C7" s="9" t="n">
        <v>11.5528718021347</v>
      </c>
      <c r="D7" s="6" t="n">
        <v>0.6666666666666666</v>
      </c>
      <c r="E7" s="9" t="n">
        <v>16.99757927716371</v>
      </c>
      <c r="F7" s="6" t="n">
        <v>0.6666666666666666</v>
      </c>
      <c r="G7" s="9" t="n">
        <v>5.127252779904689</v>
      </c>
      <c r="H7" s="6" t="n">
        <v>0.6666666666666666</v>
      </c>
      <c r="I7" s="9" t="n">
        <v>1.132807168883338</v>
      </c>
      <c r="J7" s="5" t="n">
        <v>0</v>
      </c>
      <c r="K7" s="9" t="n">
        <v>-2389</v>
      </c>
      <c r="L7" s="5" t="n">
        <v>0</v>
      </c>
      <c r="M7" s="9" t="n">
        <v>3.585216043903361</v>
      </c>
      <c r="N7" s="5" t="n">
        <v>0</v>
      </c>
      <c r="O7" s="9" t="n">
        <v>15.60469505245279</v>
      </c>
      <c r="P7" s="7" t="n">
        <v>1</v>
      </c>
      <c r="Q7" s="9" t="n">
        <v>2.383625553960966</v>
      </c>
      <c r="R7" s="5" t="n">
        <v>0</v>
      </c>
      <c r="S7" s="9" t="n">
        <v>3.659099321406539</v>
      </c>
      <c r="T7" s="6" t="n">
        <v>0.3333333333333333</v>
      </c>
      <c r="U7" s="9" t="n">
        <v>0.7679137157851319</v>
      </c>
      <c r="V7" s="6" t="n">
        <v>0.3333333333333333</v>
      </c>
    </row>
    <row r="9">
      <c r="A9" s="10" t="inlineStr">
        <is>
          <t>Peer Group Median</t>
        </is>
      </c>
      <c r="B9" s="10" t="inlineStr"/>
      <c r="C9" s="11">
        <f>MEDIAN(C4:C7)</f>
        <v/>
      </c>
      <c r="D9" s="10" t="n"/>
      <c r="E9" s="11">
        <f>MEDIAN(E4:E7)</f>
        <v/>
      </c>
      <c r="F9" s="10" t="n"/>
      <c r="G9" s="11">
        <f>MEDIAN(G4:G7)</f>
        <v/>
      </c>
      <c r="H9" s="10" t="n"/>
      <c r="I9" s="11">
        <f>MEDIAN(I4:I7)</f>
        <v/>
      </c>
      <c r="J9" s="10" t="n"/>
      <c r="K9" s="11">
        <f>MEDIAN(K4:K7)</f>
        <v/>
      </c>
      <c r="L9" s="10" t="n"/>
      <c r="M9" s="11">
        <f>MEDIAN(M4:M7)</f>
        <v/>
      </c>
      <c r="N9" s="10" t="n"/>
      <c r="O9" s="11">
        <f>MEDIAN(O4:O7)</f>
        <v/>
      </c>
      <c r="P9" s="10" t="n"/>
      <c r="Q9" s="11">
        <f>MEDIAN(Q4:Q7)</f>
        <v/>
      </c>
      <c r="R9" s="10" t="n"/>
      <c r="S9" s="11">
        <f>MEDIAN(S4:S7)</f>
        <v/>
      </c>
      <c r="T9" s="10" t="n"/>
      <c r="U9" s="11">
        <f>MEDIAN(U4:U7)</f>
        <v/>
      </c>
      <c r="V9" s="10" t="n"/>
    </row>
  </sheetData>
  <autoFilter ref="A3:V7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2026-09-05T12:23:11Z</dcterms:created>
  <dcterms:modified xsi:type="dcterms:W3CDTF">2026-09-05T12:23:12Z</dcterms:modified>
</cp:coreProperties>
</file>